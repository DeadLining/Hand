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<sst xmlns="http://schemas.openxmlformats.org/spreadsheetml/2006/main" count="803" uniqueCount="304">
  <si>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</si>
  <si>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</si>
  <si>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</si>
  <si>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</si>
  <si>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</si>
  <si>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</si>
  <si>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</si>
  <si>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</si>
  <si>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</si>
  <si>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</si>
  <si>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</si>
  <si>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</si>
  <si>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</si>
  <si>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</si>
  <si>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</si>
  <si>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</si>
  <si>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</si>
  <si>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</si>
  <si>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</si>
  <si>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</si>
  <si>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</si>
  <si>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</si>
  <si>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</si>
  <si>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</si>
  <si>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</si>
  <si>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</si>
  <si>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</si>
  <si>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</si>
  <si>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</si>
  <si>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</si>
  <si>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</si>
  <si>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</si>
  <si>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</si>
  <si>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</si>
  <si>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</si>
  <si>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</si>
  <si>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</si>
  <si>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</si>
  <si>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</si>
  <si>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</si>
  <si>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</si>
  <si>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</si>
  <si>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</si>
  <si>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</si>
  <si>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</si>
  <si>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</si>
  <si>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</si>
  <si>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</si>
  <si>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</si>
  <si>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</si>
  <si>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</si>
  <si>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</si>
  <si>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</si>
  <si>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</si>
  <si>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</si>
  <si>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</si>
  <si>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</si>
  <si>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</si>
  <si>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</si>
  <si>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</si>
  <si>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</si>
  <si>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</si>
  <si>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</si>
  <si>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</si>
  <si>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</si>
  <si>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</si>
  <si>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</si>
  <si>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</si>
  <si>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</si>
  <si>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</si>
  <si>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</si>
  <si>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</si>
  <si>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</si>
  <si>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</si>
  <si>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</si>
  <si>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HPFM.TENANT_DATABASE</t>
  </si>
  <si>
    <t>SQL</t>
  </si>
  <si>
    <t>hpfm</t>
  </si>
  <si>
    <t>租户数据库信息</t>
  </si>
  <si>
    <t>0</t>
  </si>
  <si>
    <t>SELECT
	dss.service_name,
	dbt.tenant_id,
	t.tenant_name,
	db.database_code as db_code
FROM
	hpfm_datasource_service dss
JOIN hpfm_database db on db.datasource_id = dss.datasource_id and db.enabled_flag = 1
JOIN hpfm_database_tenant dbt on dbt.datasource_id = dss.datasource_id and dbt.database_id = db.database_id
JOIN hpfm_tenant t on t.tenant_id = dbt.tenant_id and t.enabled_flag = 1
WHERE
	1 = 1
AND dss.service_name = #{serviceName ,jdbcType=VARCHAR}
&lt;if test="dbCode != null and dbCode != ''"&gt;
    &lt;bind name="dbCodeLike" value="'%' + dbCode + '%'" /&gt;
    AND db.database_code LIKE #{dbCodeLike}
&lt;/if&gt;
&lt;if test="tenantName != null and tenantName != ''"&gt;
    &lt;bind name="tenantNameLike" value="'%' + tenantName + '%'" /&gt;
    AND t.tenant_name LIKE #{tenantNameLike}
&lt;/if&gt;
ORDER BY dss.datasource_service_id DESC</t>
  </si>
  <si>
    <t>tenantId</t>
  </si>
  <si>
    <t>tenantName</t>
  </si>
  <si>
    <t>1</t>
  </si>
  <si>
    <t>hpfm_lov-9</t>
  </si>
  <si>
    <t>HPFM.SERVICE_DATABASE</t>
  </si>
  <si>
    <t>通过服务名查询数据分发类型的数据源绑定的数据库</t>
  </si>
  <si>
    <t>通过服务名查询数据分发类型的数据源绑定的数据库 ,同时返回对应的数据源ID</t>
  </si>
  <si>
    <t>SELECT 
hdb.database_name,
hdb.database_code AS init_db_code,
hds.datasource_id  AS init_ds_id,
hds.datasource_code AS init_ds_code,
hds.description
FROM hpfm_database hdb  
JOIN hpfm_datasource hds ON hdb.datasource_id = hds.datasource_id
JOIN hpfm_datasource_service hdss ON hds.datasource_id = hdss.datasource_id 
WHERE
hdb.enabled_flag = 1
AND hds.enabled_flag = 1
AND hds.tenant_id = 0
AND hds.ds_purpose_code = 'DT'
AND hdss.service_name = #{serviceName }
&lt;if test="databaseCode != null and databaseCode != ''"&gt;
    &lt;bind name="dbCodeLike" value="'%' + databaseCode + '%'" /&gt;
    AND hdb.database_code LIKE #{dbCodeLike}
&lt;/if&gt;
&lt;if test="databaseName != null and databaseName != ''"&gt;
    &lt;bind name="dbNameLike" value="'%' + databaseName + '%'" /&gt;
    AND hdb.database_name LIKE #{dbNameLike}
&lt;/if&gt;
ORDER BY hdb.database_code ASC</t>
  </si>
  <si>
    <t>hpfm_lov-10</t>
  </si>
  <si>
    <t>HPFM.DATABASE_TENANT</t>
  </si>
  <si>
    <t>数据库绑定的租户信息</t>
  </si>
  <si>
    <t>&lt;bind name="lang" value="@io.choerodon.mybatis.helper.LanguageHelper@language()"/&gt;
select 
ht.tenant_id,
ht.tenant_num,
htt.tenant_name
FROM hpfm_tenant ht
JOIN hpfm_tenant_tl htt ON ht.tenant_id = htt.tenant_id and htt.lang = #{lang}
WHERE ht.tenant_id IN(
SELECT
hdt.tenant_id
FROM hpfm_database_tenant hdt
WHERE hdt.database_id =(
SELECT
hd.database_id
FROM
hpfm_database hd
WHERE hd.datasource_id = #{datasourceId} AND hd.database_code = #{databaseCode}
)
)
AND
ht.enabled_flag =1
&lt;if test="tenantNum != null and tenantNum != ''"&gt;
		&lt;bind name="tenantNumLike" value="'%' + tenantNum + '%'"/&gt;
		AND ht.tenant_num LIKE #{tenantNumLike}
&lt;/if&gt;
&lt;if test="tenantName != null and tenantName != ''"&gt;
		&lt;bind name="tenantNameLike" value="'%' + tenantName + '%'"/&gt;
		AND htt.tenant_name LIKE #{tenantNameLike}
&lt;/if&gt;</t>
  </si>
  <si>
    <t>hpfm_lov-11</t>
  </si>
  <si>
    <t>HADM.SERVICE</t>
  </si>
  <si>
    <t>hadm</t>
  </si>
  <si>
    <t>应用服务</t>
  </si>
  <si>
    <t>SELECT
            hs.service_id,
            hs.service_code,
            hs.service_name,
            hs.service_logo
        FROM
            hadm_service hs
        WHERE 1 = 1
        &lt;if test="serviceCode != null and serviceCode !=''"&gt;
            &lt;bind name="serviceCodeLike" value="'%'+serviceCode+'%'"/&gt;
            AND hs.service_code LIKE #{serviceCodeLike}
        &lt;/if&gt;
        &lt;if test="serviceName != null and serviceName !=''"&gt;
            &lt;bind name="serviceNameLike" value="'%'+serviceName+'%'"/&gt;
            AND hs.service_name LIKE #{serviceNameLike}
        &lt;/if&gt;
        ORDER BY hs.service_code ASC, hs.creation_date DESC</t>
  </si>
  <si>
    <t>serviceId</t>
  </si>
  <si>
    <t>hpfm_lov-12</t>
  </si>
  <si>
    <t>HDTT.PROCESS_STATUS</t>
  </si>
  <si>
    <t>IDP</t>
  </si>
  <si>
    <t>数据分发处理状态</t>
  </si>
  <si>
    <t>hpfm_lov-13</t>
  </si>
  <si>
    <t>HDTT.PRODUCER_CONFIG</t>
  </si>
  <si>
    <t>URL</t>
  </si>
  <si>
    <t>hdtt</t>
  </si>
  <si>
    <t>数据消费生产配置</t>
  </si>
  <si>
    <t>/v1/producer-configs</t>
  </si>
  <si>
    <t>hpfm_lov-14</t>
  </si>
  <si>
    <t>HDTT.EVENT_PROCESS_STATUS</t>
  </si>
  <si>
    <t>数据分发事件处理状态</t>
  </si>
  <si>
    <t>hpfm_lov-15</t>
  </si>
  <si>
    <t>HDTT.EVENT_ERR_TYPE</t>
  </si>
  <si>
    <t>数据分发事件错误类型</t>
  </si>
  <si>
    <t>value</t>
  </si>
  <si>
    <t>meaning</t>
  </si>
  <si>
    <t>hpfm_lov-16</t>
  </si>
  <si>
    <t>HDTT.EVENT_TYPE</t>
  </si>
  <si>
    <t>数据分发事件类型</t>
  </si>
  <si>
    <t>hpfm_lov-17</t>
  </si>
  <si>
    <t>HDTT.TOPIC_GEN_STATUS</t>
  </si>
  <si>
    <t>TOPIC创建状态</t>
  </si>
  <si>
    <t>hpfm_lov-18</t>
  </si>
  <si>
    <t>HDTT.DATA_CHK_LEVEL</t>
  </si>
  <si>
    <t>数据核对层级</t>
  </si>
  <si>
    <t>hpfm_lov-19</t>
  </si>
  <si>
    <t>HDTT.DATA_DIFF_TYPE</t>
  </si>
  <si>
    <t>数据差异类型</t>
  </si>
  <si>
    <t>hpfm_lov-20</t>
  </si>
  <si>
    <t>HDTT.DATA_DIFF_TYPES</t>
  </si>
  <si>
    <t>测试</t>
  </si>
  <si>
    <t>hpfm_lov-21</t>
  </si>
  <si>
    <t>2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</si>
  <si>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</si>
  <si>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</si>
  <si>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</si>
  <si>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</si>
  <si>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</si>
  <si>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</si>
  <si>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</si>
  <si>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</si>
  <si>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</si>
  <si>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</si>
  <si>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</si>
  <si>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</si>
  <si>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</si>
  <si>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</si>
  <si>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ALL</t>
  </si>
  <si>
    <t>全部</t>
  </si>
  <si>
    <t>10</t>
  </si>
  <si>
    <t>SOURCE_TABLE</t>
  </si>
  <si>
    <t>来源表</t>
  </si>
  <si>
    <t>20</t>
  </si>
  <si>
    <t>TARGET_TABLE</t>
  </si>
  <si>
    <t>目标表</t>
  </si>
  <si>
    <t>30</t>
  </si>
  <si>
    <t>NO_DATA_LINE</t>
  </si>
  <si>
    <t>主表新建数据</t>
  </si>
  <si>
    <t>主表删除数据</t>
  </si>
  <si>
    <t>FIELD_VALUE_DIFF</t>
  </si>
  <si>
    <t>数据发生变更</t>
  </si>
  <si>
    <t>DELETED_DATA_LINE</t>
  </si>
  <si>
    <t>A001</t>
  </si>
  <si>
    <t>测试维度值</t>
  </si>
  <si>
    <t>111</t>
  </si>
  <si>
    <t>PRODUCE</t>
  </si>
  <si>
    <t>生产</t>
  </si>
  <si>
    <t>SYNC</t>
  </si>
  <si>
    <t>同步</t>
  </si>
  <si>
    <t>SEND</t>
  </si>
  <si>
    <t>发送</t>
  </si>
  <si>
    <t>3</t>
  </si>
  <si>
    <t>RCV</t>
  </si>
  <si>
    <t>接收</t>
  </si>
  <si>
    <t>4</t>
  </si>
  <si>
    <t>CONSUME</t>
  </si>
  <si>
    <t>消费</t>
  </si>
  <si>
    <t>5</t>
  </si>
  <si>
    <t>P</t>
  </si>
  <si>
    <t>待处理</t>
  </si>
  <si>
    <t>N</t>
  </si>
  <si>
    <t>无需处理</t>
  </si>
  <si>
    <t>R</t>
  </si>
  <si>
    <t>处理中</t>
  </si>
  <si>
    <t>S</t>
  </si>
  <si>
    <t>完成</t>
  </si>
  <si>
    <t>E</t>
  </si>
  <si>
    <t>失败</t>
  </si>
  <si>
    <t>ER</t>
  </si>
  <si>
    <t>错误已上报</t>
  </si>
  <si>
    <t>6</t>
  </si>
  <si>
    <t>ERE</t>
  </si>
  <si>
    <t>错误上报失败</t>
  </si>
  <si>
    <t>7</t>
  </si>
  <si>
    <t>DATA</t>
  </si>
  <si>
    <t>数据</t>
  </si>
  <si>
    <t>FORM</t>
  </si>
  <si>
    <t>结构</t>
  </si>
  <si>
    <t>INSERT</t>
  </si>
  <si>
    <t>插入</t>
  </si>
  <si>
    <t>UPDATE</t>
  </si>
  <si>
    <t>更新</t>
  </si>
  <si>
    <t>DELETE</t>
  </si>
  <si>
    <t>删除</t>
  </si>
  <si>
    <t>PENDING</t>
  </si>
  <si>
    <t>RUNNING</t>
  </si>
  <si>
    <t>COMPLETE</t>
  </si>
  <si>
    <t>ERROR</t>
  </si>
  <si>
    <t>错误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</si>
  <si>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</si>
  <si>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</si>
  <si>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</si>
  <si>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</si>
  <si>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</si>
  <si>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</si>
  <si>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</si>
  <si>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</si>
  <si>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</si>
  <si>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</si>
  <si>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</si>
  <si>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</si>
  <si>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</si>
  <si>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</si>
  <si>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hpfm_lov_view_header-58</t>
  </si>
  <si>
    <t>HDTT.DATABASE_TENANT</t>
  </si>
  <si>
    <t>数据库绑定的租户信息视图</t>
  </si>
  <si>
    <t>选择租户</t>
  </si>
  <si>
    <t>hpfm_lov_view_header-59</t>
  </si>
  <si>
    <t>数据分发事件错误类型视图</t>
  </si>
  <si>
    <t>选择事件错误类型</t>
  </si>
  <si>
    <t>hpfm_lov_view_header-60</t>
  </si>
  <si>
    <t>选择事件处理状态</t>
  </si>
  <si>
    <t>hpfm_lov_view_header-61</t>
  </si>
  <si>
    <t>数据分发事件类型视图</t>
  </si>
  <si>
    <t>选择事件类型视图</t>
  </si>
  <si>
    <t>hpfm_lov_view_header-62</t>
  </si>
  <si>
    <t>HDTT.INIT_TENANT_TENANT</t>
  </si>
  <si>
    <t>数据初始化租户处理选择租户</t>
  </si>
  <si>
    <t>hpfm_lov_view_header-63</t>
  </si>
  <si>
    <t>查询数据消费生产配置</t>
  </si>
  <si>
    <t>producerConfigId</t>
  </si>
  <si>
    <t>description</t>
  </si>
  <si>
    <t>选择数据消费生产配置</t>
  </si>
  <si>
    <t>hpfm_lov_view_header-64</t>
  </si>
  <si>
    <t>HDTT.SERVICE</t>
  </si>
  <si>
    <t>数据分发选择服务</t>
  </si>
  <si>
    <t>serviceCode</t>
  </si>
  <si>
    <t>serviceName</t>
  </si>
  <si>
    <t>选择服务</t>
  </si>
  <si>
    <t>hpfm_lov_view_header-65</t>
  </si>
  <si>
    <t>HDTT.SERVICE_DATABASE</t>
  </si>
  <si>
    <t>获取数据库信息视图</t>
  </si>
  <si>
    <t>initDbCode</t>
  </si>
  <si>
    <t>选择数据库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</si>
  <si>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</si>
  <si>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</si>
  <si>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</si>
  <si>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</si>
  <si>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</si>
  <si>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</si>
  <si>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</si>
  <si>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</si>
  <si>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</si>
  <si>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</si>
  <si>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</si>
  <si>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hpfm_lov_view_line-68</t>
  </si>
  <si>
    <t>租户名称</t>
  </si>
  <si>
    <t>240</t>
  </si>
  <si>
    <t>hpfm_lov_view_line-69</t>
  </si>
  <si>
    <t>租户编码</t>
  </si>
  <si>
    <t>tenantNum</t>
  </si>
  <si>
    <t>hpfm_lov_view_line-70</t>
  </si>
  <si>
    <t>含义</t>
  </si>
  <si>
    <t>200</t>
  </si>
  <si>
    <t>hpfm_lov_view_line-71</t>
  </si>
  <si>
    <t>代码</t>
  </si>
  <si>
    <t>hpfm_lov_view_line-72</t>
  </si>
  <si>
    <t>120</t>
  </si>
  <si>
    <t>hpfm_lov_view_line-73</t>
  </si>
  <si>
    <t>状态编码</t>
  </si>
  <si>
    <t>hpfm_lov_view_line-74</t>
  </si>
  <si>
    <t>hpfm_lov_view_line-75</t>
  </si>
  <si>
    <t>hpfm_lov_view_line-76</t>
  </si>
  <si>
    <t>DB代码</t>
  </si>
  <si>
    <t>dbCode</t>
  </si>
  <si>
    <t>150</t>
  </si>
  <si>
    <t>hpfm_lov_view_line-77</t>
  </si>
  <si>
    <t>hpfm_lov_view_line-78</t>
  </si>
  <si>
    <t>hpfm_lov_view_line-79</t>
  </si>
  <si>
    <t>表名</t>
  </si>
  <si>
    <t>tableName</t>
  </si>
  <si>
    <t>hpfm_lov_view_line-80</t>
  </si>
  <si>
    <t>服务代码</t>
  </si>
  <si>
    <t>300</t>
  </si>
  <si>
    <t>hpfm_lov_view_line-81</t>
  </si>
  <si>
    <t>服务名称</t>
  </si>
  <si>
    <t>hpfm_lov_view_line-82</t>
  </si>
  <si>
    <t>数据源名称</t>
  </si>
  <si>
    <t>hpfm_lov_view_line-83</t>
  </si>
  <si>
    <t>数据库编码</t>
  </si>
  <si>
    <t>hpfm_lov_view_line-84</t>
  </si>
  <si>
    <t>数据源编码</t>
  </si>
  <si>
    <t>initDsCode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</si>
</sst>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8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78</v>
      </c>
      <c r="M8" t="s">
        <v>79</v>
      </c>
      <c r="P8" t="s">
        <v>80</v>
      </c>
      <c r="R8" t="s">
        <v>81</v>
      </c>
      <c r="S8" t="s">
        <v>82</v>
      </c>
      <c r="T8" t="s">
        <v>83</v>
      </c>
      <c r="U8" t="s">
        <v>83</v>
      </c>
      <c r="X8" t="s">
        <v>79</v>
      </c>
    </row>
    <row r="9">
      <c r="E9" t="s">
        <v>84</v>
      </c>
      <c r="F9" t="s">
        <v>85</v>
      </c>
      <c r="G9" t="s">
        <v>76</v>
      </c>
      <c r="H9" t="s">
        <v>77</v>
      </c>
      <c r="I9" t="s">
        <v>86</v>
      </c>
      <c r="J9" t="s">
        <v>86</v>
      </c>
      <c r="K9" t="s">
        <v>87</v>
      </c>
      <c r="L9" t="s">
        <v>87</v>
      </c>
      <c r="M9" t="s">
        <v>79</v>
      </c>
      <c r="P9" t="s">
        <v>88</v>
      </c>
      <c r="T9" t="s">
        <v>83</v>
      </c>
      <c r="U9" t="s">
        <v>83</v>
      </c>
      <c r="X9" t="s">
        <v>79</v>
      </c>
    </row>
    <row r="10">
      <c r="E10" t="s">
        <v>89</v>
      </c>
      <c r="F10" t="s">
        <v>90</v>
      </c>
      <c r="G10" t="s">
        <v>76</v>
      </c>
      <c r="H10" t="s">
        <v>77</v>
      </c>
      <c r="I10" t="s">
        <v>91</v>
      </c>
      <c r="J10" t="s">
        <v>91</v>
      </c>
      <c r="M10" t="s">
        <v>79</v>
      </c>
      <c r="P10" t="s">
        <v>92</v>
      </c>
      <c r="T10" t="s">
        <v>83</v>
      </c>
      <c r="U10" t="s">
        <v>83</v>
      </c>
      <c r="X10" t="s">
        <v>79</v>
      </c>
    </row>
    <row r="11">
      <c r="E11" t="s">
        <v>93</v>
      </c>
      <c r="F11" t="s">
        <v>94</v>
      </c>
      <c r="G11" t="s">
        <v>76</v>
      </c>
      <c r="H11" t="s">
        <v>95</v>
      </c>
      <c r="I11" t="s">
        <v>96</v>
      </c>
      <c r="J11" t="s">
        <v>96</v>
      </c>
      <c r="M11" t="s">
        <v>79</v>
      </c>
      <c r="P11" t="s">
        <v>97</v>
      </c>
      <c r="T11" t="s">
        <v>83</v>
      </c>
      <c r="U11" t="s">
        <v>83</v>
      </c>
      <c r="W11" t="s">
        <v>98</v>
      </c>
      <c r="X11" t="s">
        <v>79</v>
      </c>
    </row>
    <row r="12">
      <c r="E12" t="s">
        <v>99</v>
      </c>
      <c r="F12" t="s">
        <v>100</v>
      </c>
      <c r="G12" t="s">
        <v>101</v>
      </c>
      <c r="I12" t="s">
        <v>102</v>
      </c>
      <c r="J12" t="s">
        <v>102</v>
      </c>
      <c r="M12" t="s">
        <v>79</v>
      </c>
      <c r="T12" t="s">
        <v>83</v>
      </c>
      <c r="U12" t="s">
        <v>83</v>
      </c>
      <c r="X12" t="s">
        <v>79</v>
      </c>
    </row>
    <row r="13"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107</v>
      </c>
      <c r="M13" t="s">
        <v>79</v>
      </c>
      <c r="Q13" t="s">
        <v>108</v>
      </c>
      <c r="T13" t="s">
        <v>83</v>
      </c>
      <c r="U13" t="s">
        <v>83</v>
      </c>
      <c r="X13" t="s">
        <v>79</v>
      </c>
    </row>
    <row r="14">
      <c r="E14" t="s">
        <v>109</v>
      </c>
      <c r="F14" t="s">
        <v>110</v>
      </c>
      <c r="G14" t="s">
        <v>101</v>
      </c>
      <c r="I14" t="s">
        <v>111</v>
      </c>
      <c r="J14" t="s">
        <v>111</v>
      </c>
      <c r="K14" t="s">
        <v>111</v>
      </c>
      <c r="L14" t="s">
        <v>111</v>
      </c>
      <c r="M14" t="s">
        <v>79</v>
      </c>
      <c r="T14" t="s">
        <v>83</v>
      </c>
      <c r="U14" t="s">
        <v>83</v>
      </c>
      <c r="X14" t="s">
        <v>79</v>
      </c>
    </row>
    <row r="15">
      <c r="E15" t="s">
        <v>112</v>
      </c>
      <c r="F15" t="s">
        <v>113</v>
      </c>
      <c r="G15" t="s">
        <v>101</v>
      </c>
      <c r="I15" t="s">
        <v>114</v>
      </c>
      <c r="J15" t="s">
        <v>114</v>
      </c>
      <c r="M15" t="s">
        <v>79</v>
      </c>
      <c r="R15" t="s">
        <v>115</v>
      </c>
      <c r="S15" t="s">
        <v>116</v>
      </c>
      <c r="T15" t="s">
        <v>83</v>
      </c>
      <c r="U15" t="s">
        <v>83</v>
      </c>
      <c r="X15" t="s">
        <v>79</v>
      </c>
    </row>
    <row r="16">
      <c r="E16" t="s">
        <v>117</v>
      </c>
      <c r="F16" t="s">
        <v>118</v>
      </c>
      <c r="G16" t="s">
        <v>101</v>
      </c>
      <c r="I16" t="s">
        <v>119</v>
      </c>
      <c r="J16" t="s">
        <v>119</v>
      </c>
      <c r="M16" t="s">
        <v>79</v>
      </c>
      <c r="T16" t="s">
        <v>83</v>
      </c>
      <c r="U16" t="s">
        <v>83</v>
      </c>
      <c r="X16" t="s">
        <v>79</v>
      </c>
    </row>
    <row r="17">
      <c r="E17" t="s">
        <v>120</v>
      </c>
      <c r="F17" t="s">
        <v>121</v>
      </c>
      <c r="G17" t="s">
        <v>101</v>
      </c>
      <c r="I17" t="s">
        <v>122</v>
      </c>
      <c r="J17" t="s">
        <v>122</v>
      </c>
      <c r="K17" t="s">
        <v>122</v>
      </c>
      <c r="L17" t="s">
        <v>122</v>
      </c>
      <c r="M17" t="s">
        <v>79</v>
      </c>
      <c r="T17" t="s">
        <v>83</v>
      </c>
      <c r="U17" t="s">
        <v>83</v>
      </c>
      <c r="X17" t="s">
        <v>79</v>
      </c>
    </row>
    <row r="18">
      <c r="E18" t="s">
        <v>123</v>
      </c>
      <c r="F18" t="s">
        <v>124</v>
      </c>
      <c r="G18" t="s">
        <v>101</v>
      </c>
      <c r="I18" t="s">
        <v>125</v>
      </c>
      <c r="J18" t="s">
        <v>125</v>
      </c>
      <c r="M18" t="s">
        <v>79</v>
      </c>
      <c r="T18" t="s">
        <v>83</v>
      </c>
      <c r="U18" t="s">
        <v>83</v>
      </c>
      <c r="X18" t="s">
        <v>79</v>
      </c>
    </row>
    <row r="19">
      <c r="E19" t="s">
        <v>126</v>
      </c>
      <c r="F19" t="s">
        <v>127</v>
      </c>
      <c r="G19" t="s">
        <v>101</v>
      </c>
      <c r="I19" t="s">
        <v>128</v>
      </c>
      <c r="J19" t="s">
        <v>128</v>
      </c>
      <c r="M19" t="s">
        <v>79</v>
      </c>
      <c r="T19" t="s">
        <v>83</v>
      </c>
      <c r="U19" t="s">
        <v>83</v>
      </c>
      <c r="X19" t="s">
        <v>79</v>
      </c>
    </row>
    <row r="20">
      <c r="E20" t="s">
        <v>129</v>
      </c>
      <c r="F20" t="s">
        <v>130</v>
      </c>
      <c r="G20" t="s">
        <v>101</v>
      </c>
      <c r="I20" t="s">
        <v>128</v>
      </c>
      <c r="J20" t="s">
        <v>128</v>
      </c>
      <c r="K20" t="s">
        <v>131</v>
      </c>
      <c r="L20" t="s">
        <v>131</v>
      </c>
      <c r="M20" t="s">
        <v>79</v>
      </c>
      <c r="N20" t="s">
        <v>127</v>
      </c>
      <c r="O20" t="s">
        <v>79</v>
      </c>
      <c r="T20" t="s">
        <v>83</v>
      </c>
      <c r="U20" t="s">
        <v>83</v>
      </c>
      <c r="X20" t="s">
        <v>79</v>
      </c>
    </row>
    <row r="21">
      <c r="E21" t="s">
        <v>132</v>
      </c>
      <c r="F21" t="s">
        <v>118</v>
      </c>
      <c r="G21" t="s">
        <v>101</v>
      </c>
      <c r="I21" t="s">
        <v>119</v>
      </c>
      <c r="J21" t="s">
        <v>119</v>
      </c>
      <c r="M21" t="s">
        <v>133</v>
      </c>
      <c r="T21" t="s">
        <v>83</v>
      </c>
      <c r="U21" t="s">
        <v>83</v>
      </c>
      <c r="X21" t="s">
        <v>79</v>
      </c>
    </row>
    <row r="23">
      <c r="A23" t="s">
        <v>50</v>
      </c>
      <c r="B23" t="s">
        <v>51</v>
      </c>
      <c r="C23" t="s">
        <v>134</v>
      </c>
      <c r="D23" t="s" s="43">
        <v>135</v>
      </c>
      <c r="E23" t="s" s="44">
        <v>136</v>
      </c>
      <c r="F23" t="s" s="45">
        <v>137</v>
      </c>
      <c r="G23" t="s">
        <v>138</v>
      </c>
      <c r="H23" t="s" s="46">
        <v>139</v>
      </c>
      <c r="I23" t="s">
        <v>140</v>
      </c>
      <c r="J23" t="s">
        <v>141</v>
      </c>
      <c r="K23" t="s">
        <v>60</v>
      </c>
      <c r="L23" t="s">
        <v>61</v>
      </c>
      <c r="M23" t="s" s="47">
        <v>62</v>
      </c>
      <c r="N23" t="s">
        <v>142</v>
      </c>
      <c r="O23" t="s">
        <v>143</v>
      </c>
      <c r="P23" t="s" s="48">
        <v>144</v>
      </c>
      <c r="Q23" t="s">
        <v>145</v>
      </c>
      <c r="R23" t="s">
        <v>146</v>
      </c>
      <c r="S23" t="s">
        <v>70</v>
      </c>
    </row>
    <row r="24">
      <c r="E24" t="s">
        <v>147</v>
      </c>
      <c r="F24">
        <f>值集数据!$E$18</f>
      </c>
      <c r="G24" t="s">
        <v>124</v>
      </c>
      <c r="H24" t="s">
        <v>148</v>
      </c>
      <c r="I24" t="s">
        <v>149</v>
      </c>
      <c r="J24" t="s">
        <v>149</v>
      </c>
      <c r="M24" t="s">
        <v>79</v>
      </c>
      <c r="O24" t="s">
        <v>150</v>
      </c>
      <c r="S24" t="s">
        <v>83</v>
      </c>
    </row>
    <row r="25">
      <c r="E25" t="s">
        <v>147</v>
      </c>
      <c r="F25">
        <f>值集数据!$E$18</f>
      </c>
      <c r="G25" t="s">
        <v>124</v>
      </c>
      <c r="H25" t="s">
        <v>151</v>
      </c>
      <c r="I25" t="s">
        <v>152</v>
      </c>
      <c r="J25" t="s">
        <v>152</v>
      </c>
      <c r="M25" t="s">
        <v>79</v>
      </c>
      <c r="O25" t="s">
        <v>153</v>
      </c>
      <c r="S25" t="s">
        <v>83</v>
      </c>
    </row>
    <row r="26">
      <c r="E26" t="s">
        <v>147</v>
      </c>
      <c r="F26">
        <f>值集数据!$E$18</f>
      </c>
      <c r="G26" t="s">
        <v>124</v>
      </c>
      <c r="H26" t="s">
        <v>154</v>
      </c>
      <c r="I26" t="s">
        <v>155</v>
      </c>
      <c r="J26" t="s">
        <v>155</v>
      </c>
      <c r="M26" t="s">
        <v>79</v>
      </c>
      <c r="O26" t="s">
        <v>156</v>
      </c>
      <c r="S26" t="s">
        <v>83</v>
      </c>
    </row>
    <row r="27">
      <c r="E27" t="s">
        <v>147</v>
      </c>
      <c r="F27">
        <f>值集数据!$E$19</f>
      </c>
      <c r="G27" t="s">
        <v>127</v>
      </c>
      <c r="H27" t="s">
        <v>157</v>
      </c>
      <c r="I27" t="s">
        <v>158</v>
      </c>
      <c r="J27" t="s">
        <v>159</v>
      </c>
      <c r="M27" t="s">
        <v>79</v>
      </c>
      <c r="O27" t="s">
        <v>150</v>
      </c>
      <c r="S27" t="s">
        <v>83</v>
      </c>
    </row>
    <row r="28">
      <c r="E28" t="s">
        <v>147</v>
      </c>
      <c r="F28">
        <f>值集数据!$E$19</f>
      </c>
      <c r="G28" t="s">
        <v>127</v>
      </c>
      <c r="H28" t="s">
        <v>160</v>
      </c>
      <c r="I28" t="s">
        <v>161</v>
      </c>
      <c r="J28" t="s">
        <v>161</v>
      </c>
      <c r="M28" t="s">
        <v>79</v>
      </c>
      <c r="O28" t="s">
        <v>153</v>
      </c>
      <c r="S28" t="s">
        <v>83</v>
      </c>
    </row>
    <row r="29">
      <c r="E29" t="s">
        <v>147</v>
      </c>
      <c r="F29">
        <f>值集数据!$E$19</f>
      </c>
      <c r="G29" t="s">
        <v>127</v>
      </c>
      <c r="H29" t="s">
        <v>162</v>
      </c>
      <c r="I29" t="s">
        <v>159</v>
      </c>
      <c r="J29" t="s">
        <v>159</v>
      </c>
      <c r="M29" t="s">
        <v>79</v>
      </c>
      <c r="O29" t="s">
        <v>156</v>
      </c>
      <c r="S29" t="s">
        <v>83</v>
      </c>
    </row>
    <row r="30">
      <c r="E30" t="s">
        <v>147</v>
      </c>
      <c r="F30">
        <f>值集数据!$E$20</f>
      </c>
      <c r="G30" t="s">
        <v>130</v>
      </c>
      <c r="H30" t="s">
        <v>163</v>
      </c>
      <c r="I30" t="s">
        <v>164</v>
      </c>
      <c r="J30" t="s">
        <v>164</v>
      </c>
      <c r="M30" t="s">
        <v>79</v>
      </c>
      <c r="O30" t="s">
        <v>165</v>
      </c>
      <c r="S30" t="s">
        <v>83</v>
      </c>
    </row>
    <row r="31">
      <c r="E31" t="s">
        <v>147</v>
      </c>
      <c r="F31">
        <f>值集数据!$E$15</f>
      </c>
      <c r="G31" t="s">
        <v>113</v>
      </c>
      <c r="H31" t="s">
        <v>166</v>
      </c>
      <c r="I31" t="s">
        <v>167</v>
      </c>
      <c r="J31" t="s">
        <v>167</v>
      </c>
      <c r="M31" t="s">
        <v>79</v>
      </c>
      <c r="O31" t="s">
        <v>83</v>
      </c>
      <c r="S31" t="s">
        <v>83</v>
      </c>
    </row>
    <row r="32">
      <c r="E32" t="s">
        <v>147</v>
      </c>
      <c r="F32">
        <f>值集数据!$E$15</f>
      </c>
      <c r="G32" t="s">
        <v>113</v>
      </c>
      <c r="H32" t="s">
        <v>168</v>
      </c>
      <c r="I32" t="s">
        <v>169</v>
      </c>
      <c r="J32" t="s">
        <v>169</v>
      </c>
      <c r="M32" t="s">
        <v>79</v>
      </c>
      <c r="O32" t="s">
        <v>133</v>
      </c>
      <c r="S32" t="s">
        <v>83</v>
      </c>
    </row>
    <row r="33">
      <c r="E33" t="s">
        <v>147</v>
      </c>
      <c r="F33">
        <f>值集数据!$E$15</f>
      </c>
      <c r="G33" t="s">
        <v>113</v>
      </c>
      <c r="H33" t="s">
        <v>170</v>
      </c>
      <c r="I33" t="s">
        <v>171</v>
      </c>
      <c r="J33" t="s">
        <v>171</v>
      </c>
      <c r="M33" t="s">
        <v>79</v>
      </c>
      <c r="O33" t="s">
        <v>172</v>
      </c>
      <c r="S33" t="s">
        <v>83</v>
      </c>
    </row>
    <row r="34">
      <c r="E34" t="s">
        <v>147</v>
      </c>
      <c r="F34">
        <f>值集数据!$E$15</f>
      </c>
      <c r="G34" t="s">
        <v>113</v>
      </c>
      <c r="H34" t="s">
        <v>173</v>
      </c>
      <c r="I34" t="s">
        <v>174</v>
      </c>
      <c r="J34" t="s">
        <v>174</v>
      </c>
      <c r="M34" t="s">
        <v>79</v>
      </c>
      <c r="O34" t="s">
        <v>175</v>
      </c>
      <c r="S34" t="s">
        <v>83</v>
      </c>
    </row>
    <row r="35">
      <c r="E35" t="s">
        <v>147</v>
      </c>
      <c r="F35">
        <f>值集数据!$E$15</f>
      </c>
      <c r="G35" t="s">
        <v>113</v>
      </c>
      <c r="H35" t="s">
        <v>176</v>
      </c>
      <c r="I35" t="s">
        <v>177</v>
      </c>
      <c r="J35" t="s">
        <v>177</v>
      </c>
      <c r="M35" t="s">
        <v>79</v>
      </c>
      <c r="O35" t="s">
        <v>178</v>
      </c>
      <c r="S35" t="s">
        <v>83</v>
      </c>
    </row>
    <row r="36">
      <c r="E36" t="s">
        <v>147</v>
      </c>
      <c r="F36">
        <f>值集数据!$E$14</f>
      </c>
      <c r="G36" t="s">
        <v>110</v>
      </c>
      <c r="H36" t="s">
        <v>179</v>
      </c>
      <c r="I36" t="s">
        <v>180</v>
      </c>
      <c r="J36" t="s">
        <v>180</v>
      </c>
      <c r="M36" t="s">
        <v>79</v>
      </c>
      <c r="O36" t="s">
        <v>83</v>
      </c>
      <c r="S36" t="s">
        <v>83</v>
      </c>
    </row>
    <row r="37">
      <c r="E37" t="s">
        <v>147</v>
      </c>
      <c r="F37">
        <f>值集数据!$E$14</f>
      </c>
      <c r="G37" t="s">
        <v>110</v>
      </c>
      <c r="H37" t="s">
        <v>181</v>
      </c>
      <c r="I37" t="s">
        <v>182</v>
      </c>
      <c r="J37" t="s">
        <v>182</v>
      </c>
      <c r="M37" t="s">
        <v>79</v>
      </c>
      <c r="O37" t="s">
        <v>133</v>
      </c>
      <c r="S37" t="s">
        <v>83</v>
      </c>
    </row>
    <row r="38">
      <c r="E38" t="s">
        <v>147</v>
      </c>
      <c r="F38">
        <f>值集数据!$E$14</f>
      </c>
      <c r="G38" t="s">
        <v>110</v>
      </c>
      <c r="H38" t="s">
        <v>183</v>
      </c>
      <c r="I38" t="s">
        <v>184</v>
      </c>
      <c r="J38" t="s">
        <v>184</v>
      </c>
      <c r="M38" t="s">
        <v>79</v>
      </c>
      <c r="O38" t="s">
        <v>172</v>
      </c>
      <c r="S38" t="s">
        <v>83</v>
      </c>
    </row>
    <row r="39">
      <c r="E39" t="s">
        <v>147</v>
      </c>
      <c r="F39">
        <f>值集数据!$E$14</f>
      </c>
      <c r="G39" t="s">
        <v>110</v>
      </c>
      <c r="H39" t="s">
        <v>185</v>
      </c>
      <c r="I39" t="s">
        <v>186</v>
      </c>
      <c r="J39" t="s">
        <v>186</v>
      </c>
      <c r="M39" t="s">
        <v>79</v>
      </c>
      <c r="O39" t="s">
        <v>175</v>
      </c>
      <c r="S39" t="s">
        <v>83</v>
      </c>
    </row>
    <row r="40">
      <c r="E40" t="s">
        <v>147</v>
      </c>
      <c r="F40">
        <f>值集数据!$E$14</f>
      </c>
      <c r="G40" t="s">
        <v>110</v>
      </c>
      <c r="H40" t="s">
        <v>187</v>
      </c>
      <c r="I40" t="s">
        <v>188</v>
      </c>
      <c r="J40" t="s">
        <v>188</v>
      </c>
      <c r="M40" t="s">
        <v>79</v>
      </c>
      <c r="O40" t="s">
        <v>178</v>
      </c>
      <c r="S40" t="s">
        <v>83</v>
      </c>
    </row>
    <row r="41">
      <c r="E41" t="s">
        <v>147</v>
      </c>
      <c r="F41">
        <f>值集数据!$E$14</f>
      </c>
      <c r="G41" t="s">
        <v>110</v>
      </c>
      <c r="H41" t="s">
        <v>189</v>
      </c>
      <c r="I41" t="s">
        <v>190</v>
      </c>
      <c r="J41" t="s">
        <v>190</v>
      </c>
      <c r="M41" t="s">
        <v>79</v>
      </c>
      <c r="O41" t="s">
        <v>191</v>
      </c>
      <c r="S41" t="s">
        <v>83</v>
      </c>
    </row>
    <row r="42">
      <c r="E42" t="s">
        <v>147</v>
      </c>
      <c r="F42">
        <f>值集数据!$E$14</f>
      </c>
      <c r="G42" t="s">
        <v>110</v>
      </c>
      <c r="H42" t="s">
        <v>192</v>
      </c>
      <c r="I42" t="s">
        <v>193</v>
      </c>
      <c r="J42" t="s">
        <v>193</v>
      </c>
      <c r="M42" t="s">
        <v>79</v>
      </c>
      <c r="O42" t="s">
        <v>194</v>
      </c>
      <c r="S42" t="s">
        <v>83</v>
      </c>
    </row>
    <row r="43">
      <c r="E43" t="s">
        <v>147</v>
      </c>
      <c r="F43">
        <f>值集数据!$E$16</f>
      </c>
      <c r="G43" t="s">
        <v>118</v>
      </c>
      <c r="H43" t="s">
        <v>195</v>
      </c>
      <c r="I43" t="s">
        <v>196</v>
      </c>
      <c r="J43" t="s">
        <v>196</v>
      </c>
      <c r="M43" t="s">
        <v>79</v>
      </c>
      <c r="O43" t="s">
        <v>83</v>
      </c>
      <c r="S43" t="s">
        <v>83</v>
      </c>
    </row>
    <row r="44">
      <c r="E44" t="s">
        <v>147</v>
      </c>
      <c r="F44">
        <f>值集数据!$E$16</f>
      </c>
      <c r="G44" t="s">
        <v>118</v>
      </c>
      <c r="H44" t="s">
        <v>197</v>
      </c>
      <c r="I44" t="s">
        <v>198</v>
      </c>
      <c r="J44" t="s">
        <v>198</v>
      </c>
      <c r="M44" t="s">
        <v>79</v>
      </c>
      <c r="O44" t="s">
        <v>133</v>
      </c>
      <c r="S44" t="s">
        <v>83</v>
      </c>
    </row>
    <row r="45">
      <c r="E45" t="s">
        <v>147</v>
      </c>
      <c r="F45">
        <f>值集数据!$E$16</f>
      </c>
      <c r="G45" t="s">
        <v>118</v>
      </c>
      <c r="H45" t="s">
        <v>199</v>
      </c>
      <c r="I45" t="s">
        <v>200</v>
      </c>
      <c r="J45" t="s">
        <v>200</v>
      </c>
      <c r="M45" t="s">
        <v>79</v>
      </c>
      <c r="O45" t="s">
        <v>83</v>
      </c>
      <c r="S45" t="s">
        <v>83</v>
      </c>
    </row>
    <row r="46">
      <c r="E46" t="s">
        <v>147</v>
      </c>
      <c r="F46">
        <f>值集数据!$E$16</f>
      </c>
      <c r="G46" t="s">
        <v>118</v>
      </c>
      <c r="H46" t="s">
        <v>201</v>
      </c>
      <c r="I46" t="s">
        <v>202</v>
      </c>
      <c r="J46" t="s">
        <v>202</v>
      </c>
      <c r="M46" t="s">
        <v>79</v>
      </c>
      <c r="O46" t="s">
        <v>133</v>
      </c>
      <c r="S46" t="s">
        <v>83</v>
      </c>
    </row>
    <row r="47">
      <c r="E47" t="s">
        <v>147</v>
      </c>
      <c r="F47">
        <f>值集数据!$E$16</f>
      </c>
      <c r="G47" t="s">
        <v>118</v>
      </c>
      <c r="H47" t="s">
        <v>203</v>
      </c>
      <c r="I47" t="s">
        <v>204</v>
      </c>
      <c r="J47" t="s">
        <v>204</v>
      </c>
      <c r="M47" t="s">
        <v>79</v>
      </c>
      <c r="O47" t="s">
        <v>172</v>
      </c>
      <c r="S47" t="s">
        <v>83</v>
      </c>
    </row>
    <row r="48">
      <c r="E48" t="s">
        <v>147</v>
      </c>
      <c r="F48">
        <f>值集数据!$E$12</f>
      </c>
      <c r="G48" t="s">
        <v>100</v>
      </c>
      <c r="H48" t="s">
        <v>205</v>
      </c>
      <c r="I48" t="s">
        <v>180</v>
      </c>
      <c r="J48" t="s">
        <v>180</v>
      </c>
      <c r="M48" t="s">
        <v>79</v>
      </c>
      <c r="O48" t="s">
        <v>83</v>
      </c>
      <c r="S48" t="s">
        <v>83</v>
      </c>
    </row>
    <row r="49">
      <c r="E49" t="s">
        <v>147</v>
      </c>
      <c r="F49">
        <f>值集数据!$E$12</f>
      </c>
      <c r="G49" t="s">
        <v>100</v>
      </c>
      <c r="H49" t="s">
        <v>206</v>
      </c>
      <c r="I49" t="s">
        <v>184</v>
      </c>
      <c r="J49" t="s">
        <v>184</v>
      </c>
      <c r="M49" t="s">
        <v>79</v>
      </c>
      <c r="O49" t="s">
        <v>133</v>
      </c>
      <c r="S49" t="s">
        <v>83</v>
      </c>
    </row>
    <row r="50">
      <c r="E50" t="s">
        <v>147</v>
      </c>
      <c r="F50">
        <f>值集数据!$E$12</f>
      </c>
      <c r="G50" t="s">
        <v>100</v>
      </c>
      <c r="H50" t="s">
        <v>207</v>
      </c>
      <c r="I50" t="s">
        <v>186</v>
      </c>
      <c r="J50" t="s">
        <v>186</v>
      </c>
      <c r="M50" t="s">
        <v>79</v>
      </c>
      <c r="O50" t="s">
        <v>172</v>
      </c>
      <c r="S50" t="s">
        <v>83</v>
      </c>
    </row>
    <row r="51">
      <c r="E51" t="s">
        <v>147</v>
      </c>
      <c r="F51">
        <f>值集数据!$E$12</f>
      </c>
      <c r="G51" t="s">
        <v>100</v>
      </c>
      <c r="H51" t="s">
        <v>208</v>
      </c>
      <c r="I51" t="s">
        <v>209</v>
      </c>
      <c r="J51" t="s">
        <v>209</v>
      </c>
      <c r="M51" t="s">
        <v>79</v>
      </c>
      <c r="O51" t="s">
        <v>175</v>
      </c>
      <c r="S51" t="s">
        <v>83</v>
      </c>
    </row>
    <row r="52">
      <c r="E52" t="s">
        <v>147</v>
      </c>
      <c r="F52">
        <f>值集数据!$E$17</f>
      </c>
      <c r="G52" t="s">
        <v>121</v>
      </c>
      <c r="H52" t="s">
        <v>179</v>
      </c>
      <c r="I52" t="s">
        <v>180</v>
      </c>
      <c r="J52" t="s">
        <v>180</v>
      </c>
      <c r="M52" t="s">
        <v>79</v>
      </c>
      <c r="O52" t="s">
        <v>83</v>
      </c>
      <c r="S52" t="s">
        <v>83</v>
      </c>
    </row>
    <row r="53">
      <c r="E53" t="s">
        <v>147</v>
      </c>
      <c r="F53">
        <f>值集数据!$E$17</f>
      </c>
      <c r="G53" t="s">
        <v>121</v>
      </c>
      <c r="H53" t="s">
        <v>183</v>
      </c>
      <c r="I53" t="s">
        <v>184</v>
      </c>
      <c r="J53" t="s">
        <v>184</v>
      </c>
      <c r="M53" t="s">
        <v>79</v>
      </c>
      <c r="O53" t="s">
        <v>133</v>
      </c>
      <c r="S53" t="s">
        <v>83</v>
      </c>
    </row>
    <row r="54">
      <c r="E54" t="s">
        <v>147</v>
      </c>
      <c r="F54">
        <f>值集数据!$E$17</f>
      </c>
      <c r="G54" t="s">
        <v>121</v>
      </c>
      <c r="H54" t="s">
        <v>185</v>
      </c>
      <c r="I54" t="s">
        <v>186</v>
      </c>
      <c r="J54" t="s">
        <v>186</v>
      </c>
      <c r="M54" t="s">
        <v>79</v>
      </c>
      <c r="O54" t="s">
        <v>172</v>
      </c>
      <c r="S54" t="s">
        <v>83</v>
      </c>
    </row>
    <row r="55">
      <c r="E55" t="s">
        <v>147</v>
      </c>
      <c r="F55">
        <f>值集数据!$E$17</f>
      </c>
      <c r="G55" t="s">
        <v>121</v>
      </c>
      <c r="H55" t="s">
        <v>187</v>
      </c>
      <c r="I55" t="s">
        <v>188</v>
      </c>
      <c r="J55" t="s">
        <v>188</v>
      </c>
      <c r="M55" t="s">
        <v>79</v>
      </c>
      <c r="O55" t="s">
        <v>175</v>
      </c>
      <c r="S55" t="s">
        <v>83</v>
      </c>
    </row>
    <row r="57">
      <c r="A57" t="s">
        <v>50</v>
      </c>
      <c r="B57" t="s">
        <v>51</v>
      </c>
      <c r="C57" t="s">
        <v>210</v>
      </c>
      <c r="D57" t="s" s="49">
        <v>211</v>
      </c>
      <c r="E57" t="s" s="50">
        <v>212</v>
      </c>
      <c r="F57" t="s" s="51">
        <v>213</v>
      </c>
      <c r="G57" t="s">
        <v>214</v>
      </c>
      <c r="H57" t="s">
        <v>215</v>
      </c>
      <c r="I57" t="s" s="52">
        <v>216</v>
      </c>
      <c r="J57" t="s" s="53">
        <v>62</v>
      </c>
      <c r="K57" t="s">
        <v>67</v>
      </c>
      <c r="L57" t="s">
        <v>68</v>
      </c>
      <c r="M57" t="s">
        <v>217</v>
      </c>
      <c r="N57" t="s">
        <v>218</v>
      </c>
      <c r="O57" t="s">
        <v>219</v>
      </c>
      <c r="P57" t="s">
        <v>220</v>
      </c>
      <c r="Q57" t="s">
        <v>221</v>
      </c>
      <c r="R57" t="s">
        <v>222</v>
      </c>
      <c r="S57" t="s">
        <v>223</v>
      </c>
      <c r="T57" t="s">
        <v>70</v>
      </c>
    </row>
    <row r="58">
      <c r="E58" t="s">
        <v>224</v>
      </c>
      <c r="F58" t="s">
        <v>225</v>
      </c>
      <c r="G58" t="s">
        <v>226</v>
      </c>
      <c r="H58" t="s">
        <v>226</v>
      </c>
      <c r="I58">
        <f>值集数据!$E$10</f>
      </c>
      <c r="J58" t="s">
        <v>79</v>
      </c>
      <c r="K58" t="s">
        <v>81</v>
      </c>
      <c r="L58" t="s">
        <v>82</v>
      </c>
      <c r="M58" t="s">
        <v>227</v>
      </c>
      <c r="N58" t="s">
        <v>227</v>
      </c>
      <c r="Q58" t="s">
        <v>150</v>
      </c>
      <c r="R58" t="s">
        <v>79</v>
      </c>
      <c r="T58" t="s">
        <v>83</v>
      </c>
    </row>
    <row r="59">
      <c r="E59" t="s">
        <v>228</v>
      </c>
      <c r="F59" t="s">
        <v>113</v>
      </c>
      <c r="G59" t="s">
        <v>229</v>
      </c>
      <c r="H59" t="s">
        <v>229</v>
      </c>
      <c r="I59">
        <f>值集数据!$E$15</f>
      </c>
      <c r="J59" t="s">
        <v>79</v>
      </c>
      <c r="K59" t="s">
        <v>115</v>
      </c>
      <c r="L59" t="s">
        <v>116</v>
      </c>
      <c r="M59" t="s">
        <v>230</v>
      </c>
      <c r="N59" t="s">
        <v>230</v>
      </c>
      <c r="Q59" t="s">
        <v>150</v>
      </c>
      <c r="R59" t="s">
        <v>79</v>
      </c>
      <c r="T59" t="s">
        <v>83</v>
      </c>
    </row>
    <row r="60">
      <c r="E60" t="s">
        <v>231</v>
      </c>
      <c r="F60" t="s">
        <v>110</v>
      </c>
      <c r="G60" t="s">
        <v>111</v>
      </c>
      <c r="H60" t="s">
        <v>111</v>
      </c>
      <c r="I60">
        <f>值集数据!$E$14</f>
      </c>
      <c r="J60" t="s">
        <v>79</v>
      </c>
      <c r="K60" t="s">
        <v>115</v>
      </c>
      <c r="L60" t="s">
        <v>116</v>
      </c>
      <c r="M60" t="s">
        <v>232</v>
      </c>
      <c r="N60" t="s">
        <v>232</v>
      </c>
      <c r="Q60" t="s">
        <v>150</v>
      </c>
      <c r="R60" t="s">
        <v>79</v>
      </c>
      <c r="T60" t="s">
        <v>83</v>
      </c>
    </row>
    <row r="61">
      <c r="E61" t="s">
        <v>233</v>
      </c>
      <c r="F61" t="s">
        <v>118</v>
      </c>
      <c r="G61" t="s">
        <v>234</v>
      </c>
      <c r="H61" t="s">
        <v>234</v>
      </c>
      <c r="I61">
        <f>值集数据!$E$16</f>
      </c>
      <c r="J61" t="s">
        <v>79</v>
      </c>
      <c r="K61" t="s">
        <v>115</v>
      </c>
      <c r="L61" t="s">
        <v>116</v>
      </c>
      <c r="M61" t="s">
        <v>235</v>
      </c>
      <c r="N61" t="s">
        <v>235</v>
      </c>
      <c r="Q61" t="s">
        <v>150</v>
      </c>
      <c r="R61" t="s">
        <v>79</v>
      </c>
      <c r="T61" t="s">
        <v>83</v>
      </c>
    </row>
    <row r="62">
      <c r="E62" t="s">
        <v>236</v>
      </c>
      <c r="F62" t="s">
        <v>237</v>
      </c>
      <c r="G62" t="s">
        <v>238</v>
      </c>
      <c r="H62" t="s">
        <v>238</v>
      </c>
      <c r="I62">
        <f>值集数据!$E$8</f>
      </c>
      <c r="J62" t="s">
        <v>79</v>
      </c>
      <c r="K62" t="s">
        <v>81</v>
      </c>
      <c r="L62" t="s">
        <v>82</v>
      </c>
      <c r="M62" t="s">
        <v>227</v>
      </c>
      <c r="N62" t="s">
        <v>227</v>
      </c>
      <c r="Q62" t="s">
        <v>150</v>
      </c>
      <c r="R62" t="s">
        <v>79</v>
      </c>
      <c r="T62" t="s">
        <v>83</v>
      </c>
    </row>
    <row r="63">
      <c r="E63" t="s">
        <v>239</v>
      </c>
      <c r="F63" t="s">
        <v>104</v>
      </c>
      <c r="G63" t="s">
        <v>240</v>
      </c>
      <c r="H63" t="s">
        <v>240</v>
      </c>
      <c r="I63">
        <f>值集数据!$E$13</f>
      </c>
      <c r="J63" t="s">
        <v>79</v>
      </c>
      <c r="K63" t="s">
        <v>241</v>
      </c>
      <c r="L63" t="s">
        <v>242</v>
      </c>
      <c r="M63" t="s">
        <v>243</v>
      </c>
      <c r="N63" t="s">
        <v>243</v>
      </c>
      <c r="Q63" t="s">
        <v>150</v>
      </c>
      <c r="R63" t="s">
        <v>79</v>
      </c>
      <c r="T63" t="s">
        <v>83</v>
      </c>
    </row>
    <row r="64">
      <c r="E64" t="s">
        <v>244</v>
      </c>
      <c r="F64" t="s">
        <v>245</v>
      </c>
      <c r="G64" t="s">
        <v>246</v>
      </c>
      <c r="H64" t="s">
        <v>246</v>
      </c>
      <c r="I64">
        <f>值集数据!$E$11</f>
      </c>
      <c r="J64" t="s">
        <v>79</v>
      </c>
      <c r="K64" t="s">
        <v>247</v>
      </c>
      <c r="L64" t="s">
        <v>248</v>
      </c>
      <c r="M64" t="s">
        <v>249</v>
      </c>
      <c r="N64" t="s">
        <v>249</v>
      </c>
      <c r="Q64" t="s">
        <v>150</v>
      </c>
      <c r="R64" t="s">
        <v>79</v>
      </c>
      <c r="T64" t="s">
        <v>83</v>
      </c>
    </row>
    <row r="65">
      <c r="E65" t="s">
        <v>250</v>
      </c>
      <c r="F65" t="s">
        <v>251</v>
      </c>
      <c r="G65" t="s">
        <v>252</v>
      </c>
      <c r="H65" t="s">
        <v>252</v>
      </c>
      <c r="I65">
        <f>值集数据!$E$9</f>
      </c>
      <c r="J65" t="s">
        <v>79</v>
      </c>
      <c r="K65" t="s">
        <v>253</v>
      </c>
      <c r="L65" t="s">
        <v>253</v>
      </c>
      <c r="M65" t="s">
        <v>254</v>
      </c>
      <c r="N65" t="s">
        <v>254</v>
      </c>
      <c r="Q65" t="s">
        <v>150</v>
      </c>
      <c r="R65" t="s">
        <v>79</v>
      </c>
      <c r="T65" t="s">
        <v>83</v>
      </c>
    </row>
    <row r="67">
      <c r="A67" t="s">
        <v>50</v>
      </c>
      <c r="B67" t="s">
        <v>51</v>
      </c>
      <c r="C67" t="s">
        <v>255</v>
      </c>
      <c r="D67" t="s" s="54">
        <v>256</v>
      </c>
      <c r="E67" t="s" s="55">
        <v>257</v>
      </c>
      <c r="F67" t="s" s="56">
        <v>258</v>
      </c>
      <c r="G67" t="s">
        <v>259</v>
      </c>
      <c r="H67" t="s" s="57">
        <v>216</v>
      </c>
      <c r="I67" t="s">
        <v>260</v>
      </c>
      <c r="J67" t="s">
        <v>261</v>
      </c>
      <c r="K67" t="s">
        <v>143</v>
      </c>
      <c r="L67" t="s" s="58">
        <v>262</v>
      </c>
      <c r="M67" t="s">
        <v>263</v>
      </c>
      <c r="N67" t="s">
        <v>264</v>
      </c>
      <c r="O67" t="s">
        <v>265</v>
      </c>
      <c r="P67" t="s">
        <v>70</v>
      </c>
    </row>
    <row r="68">
      <c r="E68" t="s">
        <v>266</v>
      </c>
      <c r="F68">
        <f>值集数据!$E$58</f>
      </c>
      <c r="G68" t="s">
        <v>79</v>
      </c>
      <c r="H68">
        <f>值集数据!$E$10</f>
      </c>
      <c r="I68" t="s">
        <v>267</v>
      </c>
      <c r="J68" t="s">
        <v>267</v>
      </c>
      <c r="K68" t="s">
        <v>133</v>
      </c>
      <c r="L68" t="s">
        <v>82</v>
      </c>
      <c r="M68" t="s">
        <v>83</v>
      </c>
      <c r="N68" t="s">
        <v>83</v>
      </c>
      <c r="O68" t="s">
        <v>268</v>
      </c>
      <c r="P68" t="s">
        <v>83</v>
      </c>
    </row>
    <row r="69">
      <c r="E69" t="s">
        <v>269</v>
      </c>
      <c r="F69">
        <f>值集数据!$E$58</f>
      </c>
      <c r="G69" t="s">
        <v>79</v>
      </c>
      <c r="H69">
        <f>值集数据!$E$10</f>
      </c>
      <c r="I69" t="s">
        <v>270</v>
      </c>
      <c r="J69" t="s">
        <v>270</v>
      </c>
      <c r="K69" t="s">
        <v>83</v>
      </c>
      <c r="L69" t="s">
        <v>271</v>
      </c>
      <c r="M69" t="s">
        <v>83</v>
      </c>
      <c r="N69" t="s">
        <v>83</v>
      </c>
      <c r="O69" t="s">
        <v>268</v>
      </c>
      <c r="P69" t="s">
        <v>83</v>
      </c>
    </row>
    <row r="70">
      <c r="E70" t="s">
        <v>272</v>
      </c>
      <c r="F70">
        <f>值集数据!$E$59</f>
      </c>
      <c r="G70" t="s">
        <v>79</v>
      </c>
      <c r="H70">
        <f>值集数据!$E$15</f>
      </c>
      <c r="I70" t="s">
        <v>273</v>
      </c>
      <c r="J70" t="s">
        <v>273</v>
      </c>
      <c r="K70" t="s">
        <v>274</v>
      </c>
      <c r="L70" t="s">
        <v>116</v>
      </c>
      <c r="M70" t="s">
        <v>83</v>
      </c>
      <c r="N70" t="s">
        <v>83</v>
      </c>
      <c r="O70" t="s">
        <v>274</v>
      </c>
      <c r="P70" t="s">
        <v>83</v>
      </c>
    </row>
    <row r="71">
      <c r="E71" t="s">
        <v>275</v>
      </c>
      <c r="F71">
        <f>值集数据!$E$59</f>
      </c>
      <c r="G71" t="s">
        <v>79</v>
      </c>
      <c r="H71">
        <f>值集数据!$E$15</f>
      </c>
      <c r="I71" t="s">
        <v>276</v>
      </c>
      <c r="J71" t="s">
        <v>276</v>
      </c>
      <c r="K71" t="s">
        <v>274</v>
      </c>
      <c r="L71" t="s">
        <v>115</v>
      </c>
      <c r="M71" t="s">
        <v>83</v>
      </c>
      <c r="N71" t="s">
        <v>83</v>
      </c>
      <c r="O71" t="s">
        <v>274</v>
      </c>
      <c r="P71" t="s">
        <v>83</v>
      </c>
    </row>
    <row r="72">
      <c r="E72" t="s">
        <v>277</v>
      </c>
      <c r="F72">
        <f>值集数据!$E$60</f>
      </c>
      <c r="G72" t="s">
        <v>79</v>
      </c>
      <c r="H72">
        <f>值集数据!$E$14</f>
      </c>
      <c r="I72" t="s">
        <v>273</v>
      </c>
      <c r="J72" t="s">
        <v>273</v>
      </c>
      <c r="K72" t="s">
        <v>133</v>
      </c>
      <c r="L72" t="s">
        <v>116</v>
      </c>
      <c r="M72" t="s">
        <v>79</v>
      </c>
      <c r="N72" t="s">
        <v>83</v>
      </c>
      <c r="O72" t="s">
        <v>278</v>
      </c>
      <c r="P72" t="s">
        <v>83</v>
      </c>
    </row>
    <row r="73">
      <c r="E73" t="s">
        <v>279</v>
      </c>
      <c r="F73">
        <f>值集数据!$E$60</f>
      </c>
      <c r="G73" t="s">
        <v>79</v>
      </c>
      <c r="H73">
        <f>值集数据!$E$14</f>
      </c>
      <c r="I73" t="s">
        <v>280</v>
      </c>
      <c r="J73" t="s">
        <v>280</v>
      </c>
      <c r="K73" t="s">
        <v>83</v>
      </c>
      <c r="L73" t="s">
        <v>115</v>
      </c>
      <c r="M73" t="s">
        <v>79</v>
      </c>
      <c r="N73" t="s">
        <v>83</v>
      </c>
      <c r="O73" t="s">
        <v>278</v>
      </c>
      <c r="P73" t="s">
        <v>83</v>
      </c>
    </row>
    <row r="74">
      <c r="E74" t="s">
        <v>281</v>
      </c>
      <c r="F74">
        <f>值集数据!$E$61</f>
      </c>
      <c r="G74" t="s">
        <v>79</v>
      </c>
      <c r="H74">
        <f>值集数据!$E$16</f>
      </c>
      <c r="I74" t="s">
        <v>273</v>
      </c>
      <c r="J74" t="s">
        <v>273</v>
      </c>
      <c r="K74" t="s">
        <v>274</v>
      </c>
      <c r="L74" t="s">
        <v>116</v>
      </c>
      <c r="M74" t="s">
        <v>83</v>
      </c>
      <c r="N74" t="s">
        <v>83</v>
      </c>
      <c r="O74" t="s">
        <v>274</v>
      </c>
      <c r="P74" t="s">
        <v>83</v>
      </c>
    </row>
    <row r="75">
      <c r="E75" t="s">
        <v>282</v>
      </c>
      <c r="F75">
        <f>值集数据!$E$61</f>
      </c>
      <c r="G75" t="s">
        <v>79</v>
      </c>
      <c r="H75">
        <f>值集数据!$E$16</f>
      </c>
      <c r="I75" t="s">
        <v>276</v>
      </c>
      <c r="J75" t="s">
        <v>276</v>
      </c>
      <c r="K75" t="s">
        <v>274</v>
      </c>
      <c r="L75" t="s">
        <v>115</v>
      </c>
      <c r="M75" t="s">
        <v>83</v>
      </c>
      <c r="N75" t="s">
        <v>83</v>
      </c>
      <c r="O75" t="s">
        <v>274</v>
      </c>
      <c r="P75" t="s">
        <v>83</v>
      </c>
    </row>
    <row r="76">
      <c r="E76" t="s">
        <v>283</v>
      </c>
      <c r="F76">
        <f>值集数据!$E$62</f>
      </c>
      <c r="G76" t="s">
        <v>79</v>
      </c>
      <c r="H76">
        <f>值集数据!$E$8</f>
      </c>
      <c r="I76" t="s">
        <v>284</v>
      </c>
      <c r="J76" t="s">
        <v>284</v>
      </c>
      <c r="K76" t="s">
        <v>83</v>
      </c>
      <c r="L76" t="s">
        <v>285</v>
      </c>
      <c r="M76" t="s">
        <v>83</v>
      </c>
      <c r="N76" t="s">
        <v>83</v>
      </c>
      <c r="O76" t="s">
        <v>286</v>
      </c>
      <c r="P76" t="s">
        <v>83</v>
      </c>
    </row>
    <row r="77">
      <c r="E77" t="s">
        <v>287</v>
      </c>
      <c r="F77">
        <f>值集数据!$E$62</f>
      </c>
      <c r="G77" t="s">
        <v>79</v>
      </c>
      <c r="H77">
        <f>值集数据!$E$8</f>
      </c>
      <c r="I77" t="s">
        <v>267</v>
      </c>
      <c r="J77" t="s">
        <v>267</v>
      </c>
      <c r="K77" t="s">
        <v>133</v>
      </c>
      <c r="L77" t="s">
        <v>82</v>
      </c>
      <c r="M77" t="s">
        <v>83</v>
      </c>
      <c r="N77" t="s">
        <v>83</v>
      </c>
      <c r="O77" t="s">
        <v>274</v>
      </c>
      <c r="P77" t="s">
        <v>83</v>
      </c>
    </row>
    <row r="78">
      <c r="E78" t="s">
        <v>288</v>
      </c>
      <c r="F78">
        <f>值集数据!$E$63</f>
      </c>
      <c r="G78" t="s">
        <v>79</v>
      </c>
      <c r="H78">
        <f>值集数据!$E$13</f>
      </c>
      <c r="I78" t="s">
        <v>9</v>
      </c>
      <c r="J78" t="s">
        <v>9</v>
      </c>
      <c r="K78" t="s">
        <v>172</v>
      </c>
      <c r="L78" t="s">
        <v>242</v>
      </c>
      <c r="M78" t="s">
        <v>79</v>
      </c>
      <c r="N78" t="s">
        <v>83</v>
      </c>
      <c r="O78" t="s">
        <v>274</v>
      </c>
      <c r="P78" t="s">
        <v>83</v>
      </c>
    </row>
    <row r="79">
      <c r="E79" t="s">
        <v>289</v>
      </c>
      <c r="F79">
        <f>值集数据!$E$63</f>
      </c>
      <c r="G79" t="s">
        <v>79</v>
      </c>
      <c r="H79">
        <f>值集数据!$E$13</f>
      </c>
      <c r="I79" t="s">
        <v>290</v>
      </c>
      <c r="J79" t="s">
        <v>290</v>
      </c>
      <c r="K79" t="s">
        <v>83</v>
      </c>
      <c r="L79" t="s">
        <v>291</v>
      </c>
      <c r="M79" t="s">
        <v>83</v>
      </c>
      <c r="N79" t="s">
        <v>83</v>
      </c>
      <c r="O79" t="s">
        <v>286</v>
      </c>
      <c r="P79" t="s">
        <v>83</v>
      </c>
    </row>
    <row r="80">
      <c r="E80" t="s">
        <v>292</v>
      </c>
      <c r="F80">
        <f>值集数据!$E$64</f>
      </c>
      <c r="G80" t="s">
        <v>79</v>
      </c>
      <c r="H80">
        <f>值集数据!$E$11</f>
      </c>
      <c r="I80" t="s">
        <v>293</v>
      </c>
      <c r="J80" t="s">
        <v>293</v>
      </c>
      <c r="K80" t="s">
        <v>294</v>
      </c>
      <c r="L80" t="s">
        <v>247</v>
      </c>
      <c r="M80" t="s">
        <v>83</v>
      </c>
      <c r="N80" t="s">
        <v>83</v>
      </c>
      <c r="O80" t="s">
        <v>294</v>
      </c>
      <c r="P80" t="s">
        <v>83</v>
      </c>
    </row>
    <row r="81">
      <c r="E81" t="s">
        <v>295</v>
      </c>
      <c r="F81">
        <f>值集数据!$E$64</f>
      </c>
      <c r="G81" t="s">
        <v>79</v>
      </c>
      <c r="H81">
        <f>值集数据!$E$11</f>
      </c>
      <c r="I81" t="s">
        <v>296</v>
      </c>
      <c r="J81" t="s">
        <v>296</v>
      </c>
      <c r="K81" t="s">
        <v>274</v>
      </c>
      <c r="L81" t="s">
        <v>248</v>
      </c>
      <c r="M81" t="s">
        <v>83</v>
      </c>
      <c r="N81" t="s">
        <v>83</v>
      </c>
      <c r="O81" t="s">
        <v>274</v>
      </c>
      <c r="P81" t="s">
        <v>83</v>
      </c>
    </row>
    <row r="82">
      <c r="E82" t="s">
        <v>297</v>
      </c>
      <c r="F82">
        <f>值集数据!$E$65</f>
      </c>
      <c r="G82" t="s">
        <v>79</v>
      </c>
      <c r="H82">
        <f>值集数据!$E$9</f>
      </c>
      <c r="I82" t="s">
        <v>298</v>
      </c>
      <c r="J82" t="s">
        <v>298</v>
      </c>
      <c r="K82" t="s">
        <v>175</v>
      </c>
      <c r="L82" t="s">
        <v>242</v>
      </c>
      <c r="M82" t="s">
        <v>79</v>
      </c>
      <c r="N82" t="s">
        <v>83</v>
      </c>
      <c r="O82" t="s">
        <v>268</v>
      </c>
      <c r="P82" t="s">
        <v>83</v>
      </c>
    </row>
    <row r="83">
      <c r="E83" t="s">
        <v>299</v>
      </c>
      <c r="F83">
        <f>值集数据!$E$65</f>
      </c>
      <c r="G83" t="s">
        <v>79</v>
      </c>
      <c r="H83">
        <f>值集数据!$E$9</f>
      </c>
      <c r="I83" t="s">
        <v>300</v>
      </c>
      <c r="J83" t="s">
        <v>300</v>
      </c>
      <c r="K83" t="s">
        <v>83</v>
      </c>
      <c r="L83" t="s">
        <v>253</v>
      </c>
      <c r="M83" t="s">
        <v>83</v>
      </c>
      <c r="N83" t="s">
        <v>83</v>
      </c>
      <c r="O83" t="s">
        <v>268</v>
      </c>
      <c r="P83" t="s">
        <v>83</v>
      </c>
    </row>
    <row r="84">
      <c r="E84" t="s">
        <v>301</v>
      </c>
      <c r="F84">
        <f>值集数据!$E$65</f>
      </c>
      <c r="G84" t="s">
        <v>79</v>
      </c>
      <c r="H84">
        <f>值集数据!$E$9</f>
      </c>
      <c r="I84" t="s">
        <v>302</v>
      </c>
      <c r="J84" t="s">
        <v>302</v>
      </c>
      <c r="K84" t="s">
        <v>172</v>
      </c>
      <c r="L84" t="s">
        <v>303</v>
      </c>
      <c r="M84" t="s">
        <v>79</v>
      </c>
      <c r="N84" t="s">
        <v>83</v>
      </c>
      <c r="O84" t="s">
        <v>268</v>
      </c>
      <c r="P84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