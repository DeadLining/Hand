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gitLab\hzero-resource\init-data\hzero-scheduler\hzero_platform\"/>
    </mc:Choice>
  </mc:AlternateContent>
  <xr:revisionPtr revIDLastSave="0" documentId="13_ncr:1_{8C3FA9A5-DA78-4EDC-96E7-3DEA15D0A721}" xr6:coauthVersionLast="45" xr6:coauthVersionMax="45" xr10:uidLastSave="{00000000-0000-0000-0000-000000000000}"/>
  <bookViews>
    <workbookView xWindow="-98" yWindow="-98" windowWidth="28996" windowHeight="15796" tabRatio="597" activeTab="1" xr2:uid="{00000000-000D-0000-FFFF-FFFF00000000}"/>
  </bookViews>
  <sheets>
    <sheet name="README" sheetId="1" r:id="rId1"/>
    <sheet name="值集数据" sheetId="2" r:id="rId2"/>
  </sheets>
  <definedNames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5" i="2" l="1"/>
  <c r="F95" i="2"/>
  <c r="H97" i="2"/>
  <c r="F97" i="2"/>
  <c r="H96" i="2"/>
  <c r="F96" i="2"/>
  <c r="H94" i="2"/>
  <c r="F94" i="2"/>
  <c r="H93" i="2"/>
  <c r="F93" i="2"/>
  <c r="H92" i="2"/>
  <c r="F92" i="2"/>
  <c r="H91" i="2"/>
  <c r="F91" i="2"/>
  <c r="H90" i="2"/>
  <c r="F90" i="2"/>
  <c r="H89" i="2"/>
  <c r="F89" i="2"/>
  <c r="H88" i="2"/>
  <c r="F88" i="2"/>
  <c r="H87" i="2"/>
  <c r="F87" i="2"/>
  <c r="H86" i="2"/>
  <c r="F86" i="2"/>
  <c r="H85" i="2"/>
  <c r="F85" i="2"/>
  <c r="H84" i="2"/>
  <c r="F84" i="2"/>
  <c r="H83" i="2"/>
  <c r="F83" i="2"/>
  <c r="I80" i="2"/>
  <c r="I79" i="2"/>
  <c r="I78" i="2"/>
  <c r="I77" i="2"/>
  <c r="I76" i="2"/>
  <c r="I75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</calcChain>
</file>

<file path=xl/sharedStrings.xml><?xml version="1.0" encoding="utf-8"?>
<sst xmlns="http://schemas.openxmlformats.org/spreadsheetml/2006/main" count="897" uniqueCount="344">
  <si>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</si>
  <si>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</si>
  <si>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</si>
  <si>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</si>
  <si>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</si>
  <si>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</si>
  <si>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</si>
  <si>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</si>
  <si>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</si>
  <si>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</si>
  <si>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</si>
  <si>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</si>
  <si>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</si>
  <si>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</si>
  <si>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</si>
  <si>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</si>
  <si>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</si>
  <si>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</si>
  <si>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</si>
  <si>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</si>
  <si>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</si>
  <si>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</si>
  <si>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</si>
  <si>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</si>
  <si>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</si>
  <si>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</si>
  <si>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</si>
  <si>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</si>
  <si>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</si>
  <si>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</si>
  <si>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</si>
  <si>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</si>
  <si>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</si>
  <si>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</si>
  <si>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</si>
  <si>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</si>
  <si>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</si>
  <si>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</si>
  <si>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</si>
  <si>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</si>
  <si>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</si>
  <si>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</si>
  <si>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</si>
  <si>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</si>
  <si>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</si>
  <si>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</si>
  <si>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</si>
  <si>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</si>
  <si>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</si>
  <si>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</si>
  <si>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</si>
  <si>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</si>
  <si>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</si>
  <si>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</si>
  <si>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</si>
  <si>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</si>
  <si>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</si>
  <si>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</si>
  <si>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</si>
  <si>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</si>
  <si>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</si>
  <si>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</si>
  <si>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</si>
  <si>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</si>
  <si>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</si>
  <si>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</si>
  <si>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</si>
  <si>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</si>
  <si>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</si>
  <si>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</si>
  <si>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</si>
  <si>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</si>
  <si>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</si>
  <si>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</si>
  <si>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</si>
  <si>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HSDR.AVAIL_EXECUTOR</t>
  </si>
  <si>
    <t>SQL</t>
  </si>
  <si>
    <t>hsdr</t>
  </si>
  <si>
    <t>可用执行器</t>
  </si>
  <si>
    <t>新建任务可选择的执行器</t>
  </si>
  <si>
    <t>0</t>
  </si>
  <si>
    <t>SELECT
    he.executor_id,
    he.executor_code,
    he.executor_name,
    he.server_name 
FROM
    hsdr_executor he 
WHERE
    1 = 1
    AND ( he.tenant_id = #{tenantId} OR he.executor_type = 0 ) 
    &lt;if test="executorCode != null and executorCode != ''"&gt;
        &lt;bind name="executorCodeLike" value="'%' + executorCode + '%'"/&gt;
        AND he.executor_code LIKE #{executorCodeLike}
    &lt;/if&gt;
    &lt;if test="executorName != null and executorName != ''"&gt;
        &lt;bind name="executorNameLike" value="'%' + executorName + '%'"/&gt;
        AND he.executor_name LIKE #{executorNameLike}
    &lt;/if&gt;
ORDER BY
    he.order_seq</t>
  </si>
  <si>
    <t>1</t>
  </si>
  <si>
    <t>executorId</t>
  </si>
  <si>
    <t>hpfm_lov-9</t>
  </si>
  <si>
    <t>HSDR.CONC_PERMISSION.ROLE</t>
  </si>
  <si>
    <t>hpfm</t>
  </si>
  <si>
    <t>角色列表</t>
  </si>
  <si>
    <t>SELECT
	ir.id,
	ir.name,
	ir.description
FROM
	iam_role ir
WHERE
  1 = 1
  AND ir.h_tenant_id = #{tenantId}
&lt;if test="name != null and name != ''"&gt;
&lt;bind name="nameLike" value="'%' + name + '%'"/&gt;
	AND ir.name LIKE #{nameLike}
&lt;/if&gt;
&lt;if test="description != null and description != ''"&gt;
&lt;bind name="descriptionLike" value="'%' + description + '%'"/&gt;
	AND ir.description LIKE #{descriptionLike}
&lt;/if&gt;</t>
  </si>
  <si>
    <t>id</t>
  </si>
  <si>
    <t>hpfm_lov-10</t>
  </si>
  <si>
    <t>HSDR.EXECUTABLE</t>
  </si>
  <si>
    <t>并发可执行</t>
  </si>
  <si>
    <t>SELECT
	executable_id,
	executable_code,
	executable_name
FROM
	hsdr_conc_executable
WHERE
        enabled_flag = 1
        AND tenant_id IN (#{tenantId},0)
&lt;if test="executableCode!= null and executableCode!= ''"&gt;
        &lt;bind name="executableCodeLike" value="'%' + executableCode+ '%'"/&gt;
        AND executable_code LIKE #{executableCodeLike}
&lt;/if&gt;
&lt;if test="executableName != null and executableName != ''"&gt;
        &lt;bind name="executableNameLike" value="'%' + executableName + '%'"/&gt;
        AND executable_name LIKE #{executableNameLike}
&lt;/if&gt;</t>
  </si>
  <si>
    <t>executableId</t>
  </si>
  <si>
    <t>executableName</t>
  </si>
  <si>
    <t>hpfm_lov-11</t>
  </si>
  <si>
    <t>HSDR.EXECUTOR_STATUS</t>
  </si>
  <si>
    <t>IDP</t>
  </si>
  <si>
    <t>执行器状态</t>
  </si>
  <si>
    <t>前端只会使用 tag(标记) 中包含 web 的数据</t>
  </si>
  <si>
    <t>hpfm_lov-12</t>
  </si>
  <si>
    <t>HSDR.EXECUTOR_STRATEGY</t>
  </si>
  <si>
    <t>执行器策略</t>
  </si>
  <si>
    <t>hpfm_lov-13</t>
  </si>
  <si>
    <t>HSDR.FAIL_STRATEGY</t>
  </si>
  <si>
    <t>失败策略</t>
  </si>
  <si>
    <t>hpfm_lov-14</t>
  </si>
  <si>
    <t>HSDR.GLUE_TYPE</t>
  </si>
  <si>
    <t>调度任务类型</t>
  </si>
  <si>
    <t>运行模式</t>
  </si>
  <si>
    <t>hpfm_lov-15</t>
  </si>
  <si>
    <t>HSDR.JOB.SOURCE_FLAG</t>
  </si>
  <si>
    <t>调度任务来源标识</t>
  </si>
  <si>
    <t>hpfm_lov-16</t>
  </si>
  <si>
    <t>HSDR.JOB_LOG_CLEAR_TYPE</t>
  </si>
  <si>
    <t>日志清理类型</t>
  </si>
  <si>
    <t>hpfm_lov-17</t>
  </si>
  <si>
    <t>HSDR.JOB_STATUS</t>
  </si>
  <si>
    <t>任务状态</t>
  </si>
  <si>
    <t>hpfm_lov-18</t>
  </si>
  <si>
    <t>HSDR.LOG.CLIENT_RESULT</t>
  </si>
  <si>
    <t>客户端执行结果</t>
  </si>
  <si>
    <t>hpfm_lov-19</t>
  </si>
  <si>
    <t>HSDR.LOG.JOB_INFO</t>
  </si>
  <si>
    <t>日志清理选择任务</t>
  </si>
  <si>
    <t>jobId</t>
  </si>
  <si>
    <t>hpfm_lov-20</t>
  </si>
  <si>
    <t>HSDR.LOG.JOB_RESULT</t>
  </si>
  <si>
    <t>任务调度结果</t>
  </si>
  <si>
    <t>hpfm_lov-21</t>
  </si>
  <si>
    <t>HSDR.PARAM_EDIT_TYPE</t>
  </si>
  <si>
    <t>编辑类型</t>
  </si>
  <si>
    <t>hpfm_lov-22</t>
  </si>
  <si>
    <t>HSDR.PARAM_FORMAT</t>
  </si>
  <si>
    <t>参数格式</t>
  </si>
  <si>
    <t>hpfm_lov-23</t>
  </si>
  <si>
    <t>HSDR.REQUEST.CONCURRENT</t>
  </si>
  <si>
    <t>URL</t>
  </si>
  <si>
    <t>并发请求选择并发程序</t>
  </si>
  <si>
    <t>并发请求根据权限过滤选择并发程序</t>
  </si>
  <si>
    <t>/v1/{organizationId}/concurrents/usable</t>
  </si>
  <si>
    <t>hpfm_lov-24</t>
  </si>
  <si>
    <t>HSDR.REQUEST.CONCURRENT_SITE</t>
  </si>
  <si>
    <t>并发请求选择并发程序(平台级)</t>
  </si>
  <si>
    <t>平台新建并发请求选择并发程序,没有权限过滤</t>
  </si>
  <si>
    <t>/v1/concurrents/usable</t>
  </si>
  <si>
    <t>hpfm_lov-25</t>
  </si>
  <si>
    <t>HSDR.REQUEST.INTERVAL_TYPE</t>
  </si>
  <si>
    <t>时间间隔类型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</si>
  <si>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</si>
  <si>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</si>
  <si>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</si>
  <si>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</si>
  <si>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</si>
  <si>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</si>
  <si>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</si>
  <si>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</si>
  <si>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</si>
  <si>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</si>
  <si>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</si>
  <si>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</si>
  <si>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</si>
  <si>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</si>
  <si>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ONLINE</t>
  </si>
  <si>
    <t>在线</t>
  </si>
  <si>
    <t>web</t>
  </si>
  <si>
    <t>10</t>
  </si>
  <si>
    <t>A-OFFLINE</t>
  </si>
  <si>
    <t>自动下线</t>
  </si>
  <si>
    <t>30</t>
  </si>
  <si>
    <t>OFFLINE</t>
  </si>
  <si>
    <t>人工下线</t>
  </si>
  <si>
    <t>下线</t>
  </si>
  <si>
    <t>20</t>
  </si>
  <si>
    <t>POLLING</t>
  </si>
  <si>
    <t>轮询</t>
  </si>
  <si>
    <t>WEIGHT</t>
  </si>
  <si>
    <t>执行器权重</t>
  </si>
  <si>
    <t>JOB_WEIGHT</t>
  </si>
  <si>
    <t>任务-执行器权重</t>
  </si>
  <si>
    <t>RETRY</t>
  </si>
  <si>
    <t>重试</t>
  </si>
  <si>
    <t>IGNORE</t>
  </si>
  <si>
    <t>忽略</t>
  </si>
  <si>
    <t>TRANSFER</t>
  </si>
  <si>
    <t>转移</t>
  </si>
  <si>
    <t>SIMPLE</t>
  </si>
  <si>
    <t>简单任务</t>
  </si>
  <si>
    <t>JOB</t>
  </si>
  <si>
    <t>调度任务</t>
  </si>
  <si>
    <t>Schedule Tasks</t>
  </si>
  <si>
    <t>REQUEST</t>
  </si>
  <si>
    <t>并发请求</t>
  </si>
  <si>
    <t>Concurrent Request</t>
  </si>
  <si>
    <t>2</t>
  </si>
  <si>
    <t>清理一天之前日志数据</t>
  </si>
  <si>
    <t>清理一周之前日志数据</t>
  </si>
  <si>
    <t>3</t>
  </si>
  <si>
    <t>清理一个月之前日志数据</t>
  </si>
  <si>
    <t>4</t>
  </si>
  <si>
    <t>清理三个月之前日志数据</t>
  </si>
  <si>
    <t>40</t>
  </si>
  <si>
    <t>5</t>
  </si>
  <si>
    <t>清理六个月以前日志数据</t>
  </si>
  <si>
    <t>50</t>
  </si>
  <si>
    <t>6</t>
  </si>
  <si>
    <t>清理一年以前日志数据</t>
  </si>
  <si>
    <t>60</t>
  </si>
  <si>
    <t>7</t>
  </si>
  <si>
    <t>清除所有日志记录</t>
  </si>
  <si>
    <t>70</t>
  </si>
  <si>
    <t>NONE</t>
  </si>
  <si>
    <t>结束</t>
  </si>
  <si>
    <t>NORMAL</t>
  </si>
  <si>
    <t>正常</t>
  </si>
  <si>
    <t>PAUSED</t>
  </si>
  <si>
    <t>暂停</t>
  </si>
  <si>
    <t>COMPLETE</t>
  </si>
  <si>
    <t>完成</t>
  </si>
  <si>
    <t>ERROR</t>
  </si>
  <si>
    <t>错误</t>
  </si>
  <si>
    <t>BLOCKED</t>
  </si>
  <si>
    <t>阻塞</t>
  </si>
  <si>
    <t>SUCCESS</t>
  </si>
  <si>
    <t>成功</t>
  </si>
  <si>
    <t>FAILURE</t>
  </si>
  <si>
    <t>失败</t>
  </si>
  <si>
    <t>DOING</t>
  </si>
  <si>
    <t>运行中</t>
  </si>
  <si>
    <t>WARNING</t>
  </si>
  <si>
    <t>警告</t>
  </si>
  <si>
    <t>25</t>
  </si>
  <si>
    <t>LOV</t>
  </si>
  <si>
    <t>INPUT</t>
  </si>
  <si>
    <t>文本</t>
  </si>
  <si>
    <t>CHECKBOX</t>
  </si>
  <si>
    <t>勾选框</t>
  </si>
  <si>
    <t>COMBOBOX</t>
  </si>
  <si>
    <t>下拉单选</t>
  </si>
  <si>
    <t>DATAPICKER</t>
  </si>
  <si>
    <t>日期选择框</t>
  </si>
  <si>
    <t>INPUTNUMBER</t>
  </si>
  <si>
    <t>数字框</t>
  </si>
  <si>
    <t>MULTIPLE</t>
  </si>
  <si>
    <t>下拉多选</t>
  </si>
  <si>
    <t>45</t>
  </si>
  <si>
    <t>NUMERICAL</t>
  </si>
  <si>
    <t>数字</t>
  </si>
  <si>
    <t>DATE</t>
  </si>
  <si>
    <t>TEXT</t>
  </si>
  <si>
    <t>DAY</t>
  </si>
  <si>
    <t>天</t>
  </si>
  <si>
    <t>HOUR</t>
  </si>
  <si>
    <t>时</t>
  </si>
  <si>
    <t>MINUTE</t>
  </si>
  <si>
    <t>分</t>
  </si>
  <si>
    <t>SECOND</t>
  </si>
  <si>
    <t>秒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</si>
  <si>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</si>
  <si>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</si>
  <si>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</si>
  <si>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</si>
  <si>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</si>
  <si>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</si>
  <si>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</si>
  <si>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</si>
  <si>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</si>
  <si>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</si>
  <si>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</si>
  <si>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</si>
  <si>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</si>
  <si>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</si>
  <si>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hpfm_lov_view_header-75</t>
  </si>
  <si>
    <t>可用执行器列表</t>
  </si>
  <si>
    <t>executorName</t>
  </si>
  <si>
    <t>选择可用执行器列表</t>
  </si>
  <si>
    <t>hpfm_lov_view_header-76</t>
  </si>
  <si>
    <t>并发请求权限控制选择角色</t>
  </si>
  <si>
    <t>name</t>
  </si>
  <si>
    <t>选择角色</t>
  </si>
  <si>
    <t>hpfm_lov_view_header-77</t>
  </si>
  <si>
    <t>HSDR.CONC_REQUEST.CONCURRENT</t>
  </si>
  <si>
    <t>创建并发请求选择并发程序</t>
  </si>
  <si>
    <t>concurrentId</t>
  </si>
  <si>
    <t>concName</t>
  </si>
  <si>
    <t>选择并发程序</t>
  </si>
  <si>
    <t>hpfm_lov_view_header-78</t>
  </si>
  <si>
    <t>选择并发可执行</t>
  </si>
  <si>
    <t>hpfm_lov_view_header-79</t>
  </si>
  <si>
    <t>选择任务</t>
  </si>
  <si>
    <t>hpfm_lov_view_header-80</t>
  </si>
  <si>
    <t>创建并发请求选择并发程序(平台级)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</si>
  <si>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</si>
  <si>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</si>
  <si>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</si>
  <si>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</si>
  <si>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</si>
  <si>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</si>
  <si>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</si>
  <si>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</si>
  <si>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</si>
  <si>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</si>
  <si>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</si>
  <si>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hpfm_lov_view_line-83</t>
  </si>
  <si>
    <t>执行器编码</t>
  </si>
  <si>
    <t>executorCode</t>
  </si>
  <si>
    <t>200</t>
  </si>
  <si>
    <t>hpfm_lov_view_line-84</t>
  </si>
  <si>
    <t>执行器名称</t>
  </si>
  <si>
    <t>hpfm_lov_view_line-85</t>
  </si>
  <si>
    <t>服务</t>
  </si>
  <si>
    <t>serverName</t>
  </si>
  <si>
    <t>hpfm_lov_view_line-86</t>
  </si>
  <si>
    <t>角色描述</t>
  </si>
  <si>
    <t>description</t>
  </si>
  <si>
    <t>250</t>
  </si>
  <si>
    <t>hpfm_lov_view_line-87</t>
  </si>
  <si>
    <t>角色名称</t>
  </si>
  <si>
    <t>hpfm_lov_view_line-88</t>
  </si>
  <si>
    <t>并发程序代码</t>
  </si>
  <si>
    <t>concCode</t>
  </si>
  <si>
    <t>300</t>
  </si>
  <si>
    <t>hpfm_lov_view_line-89</t>
  </si>
  <si>
    <t>并发程序名称</t>
  </si>
  <si>
    <t>hpfm_lov_view_line-90</t>
  </si>
  <si>
    <t>可执行编码</t>
  </si>
  <si>
    <t>executableCode</t>
  </si>
  <si>
    <t>hpfm_lov_view_line-91</t>
  </si>
  <si>
    <t>可执行名称</t>
  </si>
  <si>
    <t>hpfm_lov_view_line-92</t>
  </si>
  <si>
    <t>任务描述</t>
  </si>
  <si>
    <t>hpfm_lov_view_line-93</t>
  </si>
  <si>
    <t>任务编码</t>
  </si>
  <si>
    <t>jobCode</t>
  </si>
  <si>
    <t>hpfm_lov_view_line-94</t>
  </si>
  <si>
    <t>任务ID</t>
  </si>
  <si>
    <t>SELECT
            hji.job_id,
            hji.job_id task_id,
            hji.job_code,
            hji.description
        FROM
            hsdr_job_info hji
        WHERE
        1 = 1
        &lt;if test="taskId != null and taskId != ''"&gt;
            AND hji.job_id = #{taskId}
        &lt;/if&gt;
        &lt;if test="tenantId != null and tenantId != ''"&gt;
            AND hji.tenant_id = #{tenantId}
        &lt;/if&gt;
        &lt;if test="jobCode != null and jobCode != ''"&gt;
            &lt;bind name="jobCodeLike" value="'%' + jobCode + '%'"/&gt;
            AND hji.job_code LIKE #{jobCodeLike}
        &lt;/if&gt;
        &lt;if test="description != null and description != ''"&gt;
            &lt;bind name="descriptionLike" value="'%' + description + '%'"/&gt;
            AND hji.description LIKE #{descriptionLike}
        &lt;/if&gt;</t>
    <phoneticPr fontId="17" type="noConversion"/>
  </si>
  <si>
    <t>HSDR.LOG.JOB_INFO</t>
    <phoneticPr fontId="17" type="noConversion"/>
  </si>
  <si>
    <t>hpfm_lov_view_line-95</t>
    <phoneticPr fontId="17" type="noConversion"/>
  </si>
  <si>
    <t>hpfm_lov_view_line-96</t>
    <phoneticPr fontId="17" type="noConversion"/>
  </si>
  <si>
    <t>hpfm_lov_view_line-97</t>
    <phoneticPr fontId="17" type="noConversion"/>
  </si>
  <si>
    <t>taskId</t>
    <phoneticPr fontId="17" type="noConversion"/>
  </si>
  <si>
    <t>taskId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</si>
</sst>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6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14" fillId="0" borderId="0" xfId="0" applyFont="1" applyAlignment="1">
      <alignment wrapText="1"/>
    </xf>
    <xf numFmtId="0" fontId="14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/>
  </sheetViews>
  <sheetFormatPr defaultColWidth="9" defaultRowHeight="16.149999999999999"/>
  <cols>
    <col min="1" max="1" width="15.5234375" style="1" customWidth="1"/>
    <col min="2" max="2" width="10.3125" style="2" customWidth="1"/>
    <col min="3" max="3" width="28.1015625" customWidth="1"/>
    <col min="4" max="4" width="35.3125" style="3" customWidth="1"/>
    <col min="5" max="5" width="38.5234375" customWidth="1"/>
    <col min="6" max="6" width="23.41796875" customWidth="1"/>
    <col min="7" max="7" width="21.5234375" customWidth="1"/>
    <col min="8" max="8" width="22" customWidth="1"/>
    <col min="9" max="9" width="24.5234375" customWidth="1"/>
    <col min="10" max="10" width="27" customWidth="1"/>
    <col min="11" max="11" width="19.1015625" customWidth="1"/>
    <col min="12" max="12" width="18.5234375" customWidth="1"/>
    <col min="13" max="13" width="13.1015625" customWidth="1"/>
    <col min="14" max="1025" width="10.3125" customWidth="1"/>
  </cols>
  <sheetData>
    <row r="1" spans="1:8" ht="64.5" customHeight="1">
      <c r="A1" s="4"/>
      <c r="C1" s="57" t="s">
        <v>0</v>
      </c>
      <c r="D1" s="57"/>
      <c r="E1" s="57"/>
      <c r="F1" s="5"/>
      <c r="G1" s="5"/>
      <c r="H1" s="5"/>
    </row>
    <row r="2" spans="1:8" ht="16.899999999999999">
      <c r="E2" s="6"/>
    </row>
    <row r="3" spans="1:8" ht="49.5" customHeight="1">
      <c r="C3" s="56" t="s">
        <v>1</v>
      </c>
      <c r="D3" s="56"/>
      <c r="E3" s="58" t="s">
        <v>2</v>
      </c>
      <c r="F3" s="58"/>
      <c r="G3" s="58"/>
    </row>
    <row r="4" spans="1:8" ht="16.899999999999999">
      <c r="C4" s="59" t="s">
        <v>3</v>
      </c>
      <c r="D4" s="59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6.899999999999999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48.4">
      <c r="C9" s="16" t="s">
        <v>13</v>
      </c>
      <c r="D9" s="17" t="s">
        <v>14</v>
      </c>
      <c r="E9" s="18" t="s">
        <v>15</v>
      </c>
      <c r="F9" t="s">
        <v>16</v>
      </c>
    </row>
    <row r="10" spans="1:8" ht="48.4">
      <c r="C10" s="19" t="s">
        <v>17</v>
      </c>
      <c r="D10" s="17" t="s">
        <v>18</v>
      </c>
      <c r="E10" s="18" t="s">
        <v>19</v>
      </c>
    </row>
    <row r="11" spans="1:8" ht="64.5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2.2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60" t="s">
        <v>30</v>
      </c>
      <c r="D19" s="60"/>
      <c r="E19" s="60"/>
    </row>
    <row r="20" spans="3:5" ht="16.899999999999999">
      <c r="C20" s="24" t="s">
        <v>31</v>
      </c>
      <c r="D20" s="6" t="s">
        <v>32</v>
      </c>
    </row>
    <row r="21" spans="3:5" ht="16.899999999999999">
      <c r="C21" s="24" t="s">
        <v>33</v>
      </c>
      <c r="D21" s="6" t="s">
        <v>34</v>
      </c>
    </row>
    <row r="22" spans="3:5" ht="16.899999999999999">
      <c r="C22" s="24" t="s">
        <v>35</v>
      </c>
      <c r="D22" s="3" t="s">
        <v>36</v>
      </c>
    </row>
    <row r="23" spans="3:5" ht="16.899999999999999">
      <c r="C23" s="24" t="s">
        <v>37</v>
      </c>
      <c r="D23" s="3" t="s">
        <v>38</v>
      </c>
    </row>
    <row r="25" spans="3:5" ht="69" customHeight="1">
      <c r="C25" s="25" t="s">
        <v>39</v>
      </c>
      <c r="D25" s="56" t="s">
        <v>40</v>
      </c>
      <c r="E25" s="56"/>
    </row>
    <row r="26" spans="3:5" ht="14.25" customHeight="1">
      <c r="C26" s="14" t="s">
        <v>41</v>
      </c>
      <c r="D26" s="56" t="s">
        <v>42</v>
      </c>
      <c r="E26" s="56"/>
    </row>
    <row r="27" spans="3:5" ht="48.4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7"/>
  <sheetViews>
    <sheetView tabSelected="1" topLeftCell="A73" workbookViewId="0">
      <selection activeCell="S90" sqref="S90"/>
    </sheetView>
  </sheetViews>
  <sheetFormatPr defaultRowHeight="16.149999999999999"/>
  <cols>
    <col min="5" max="5" width="26.26171875" customWidth="1"/>
    <col min="6" max="6" width="21.68359375" customWidth="1"/>
  </cols>
  <sheetData>
    <row r="1" spans="1:24">
      <c r="A1" s="27" t="s">
        <v>44</v>
      </c>
      <c r="B1" s="28" t="s">
        <v>45</v>
      </c>
      <c r="C1" s="29" t="s">
        <v>9</v>
      </c>
      <c r="D1" s="30" t="s">
        <v>46</v>
      </c>
    </row>
    <row r="4" spans="1:24">
      <c r="E4" s="31" t="s">
        <v>47</v>
      </c>
      <c r="F4" s="32" t="s">
        <v>48</v>
      </c>
      <c r="G4" s="33" t="s">
        <v>49</v>
      </c>
    </row>
    <row r="7" spans="1:24">
      <c r="A7" t="s">
        <v>50</v>
      </c>
      <c r="B7" t="s">
        <v>51</v>
      </c>
      <c r="C7" t="s">
        <v>52</v>
      </c>
      <c r="D7" s="34" t="s">
        <v>53</v>
      </c>
      <c r="E7" s="35" t="s">
        <v>54</v>
      </c>
      <c r="F7" s="36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s="3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 spans="1:24"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78</v>
      </c>
      <c r="K8" t="s">
        <v>79</v>
      </c>
      <c r="M8" t="s">
        <v>80</v>
      </c>
      <c r="P8" t="s">
        <v>81</v>
      </c>
      <c r="T8" t="s">
        <v>82</v>
      </c>
      <c r="U8" t="s">
        <v>82</v>
      </c>
      <c r="W8" t="s">
        <v>83</v>
      </c>
      <c r="X8" t="s">
        <v>80</v>
      </c>
    </row>
    <row r="9" spans="1:24">
      <c r="E9" t="s">
        <v>84</v>
      </c>
      <c r="F9" t="s">
        <v>85</v>
      </c>
      <c r="G9" t="s">
        <v>76</v>
      </c>
      <c r="H9" t="s">
        <v>86</v>
      </c>
      <c r="I9" t="s">
        <v>87</v>
      </c>
      <c r="J9" t="s">
        <v>87</v>
      </c>
      <c r="M9" t="s">
        <v>80</v>
      </c>
      <c r="P9" t="s">
        <v>88</v>
      </c>
      <c r="T9" t="s">
        <v>82</v>
      </c>
      <c r="U9" t="s">
        <v>82</v>
      </c>
      <c r="W9" t="s">
        <v>89</v>
      </c>
      <c r="X9" t="s">
        <v>80</v>
      </c>
    </row>
    <row r="10" spans="1:24">
      <c r="E10" t="s">
        <v>90</v>
      </c>
      <c r="F10" t="s">
        <v>91</v>
      </c>
      <c r="G10" t="s">
        <v>76</v>
      </c>
      <c r="H10" t="s">
        <v>77</v>
      </c>
      <c r="I10" t="s">
        <v>92</v>
      </c>
      <c r="J10" t="s">
        <v>92</v>
      </c>
      <c r="M10" t="s">
        <v>80</v>
      </c>
      <c r="P10" t="s">
        <v>93</v>
      </c>
      <c r="R10" t="s">
        <v>94</v>
      </c>
      <c r="S10" t="s">
        <v>95</v>
      </c>
      <c r="T10" t="s">
        <v>82</v>
      </c>
      <c r="U10" t="s">
        <v>82</v>
      </c>
      <c r="W10" t="s">
        <v>94</v>
      </c>
      <c r="X10" t="s">
        <v>80</v>
      </c>
    </row>
    <row r="11" spans="1:24">
      <c r="E11" t="s">
        <v>96</v>
      </c>
      <c r="F11" t="s">
        <v>97</v>
      </c>
      <c r="G11" t="s">
        <v>98</v>
      </c>
      <c r="I11" t="s">
        <v>99</v>
      </c>
      <c r="J11" t="s">
        <v>99</v>
      </c>
      <c r="K11" t="s">
        <v>100</v>
      </c>
      <c r="M11" t="s">
        <v>80</v>
      </c>
      <c r="T11" t="s">
        <v>82</v>
      </c>
      <c r="U11" t="s">
        <v>82</v>
      </c>
      <c r="X11" t="s">
        <v>80</v>
      </c>
    </row>
    <row r="12" spans="1:24">
      <c r="E12" t="s">
        <v>101</v>
      </c>
      <c r="F12" t="s">
        <v>102</v>
      </c>
      <c r="G12" t="s">
        <v>98</v>
      </c>
      <c r="I12" t="s">
        <v>103</v>
      </c>
      <c r="J12" t="s">
        <v>103</v>
      </c>
      <c r="M12" t="s">
        <v>80</v>
      </c>
      <c r="T12" t="s">
        <v>82</v>
      </c>
      <c r="U12" t="s">
        <v>82</v>
      </c>
      <c r="X12" t="s">
        <v>80</v>
      </c>
    </row>
    <row r="13" spans="1:24">
      <c r="E13" t="s">
        <v>104</v>
      </c>
      <c r="F13" t="s">
        <v>105</v>
      </c>
      <c r="G13" t="s">
        <v>98</v>
      </c>
      <c r="I13" t="s">
        <v>106</v>
      </c>
      <c r="J13" t="s">
        <v>106</v>
      </c>
      <c r="M13" t="s">
        <v>80</v>
      </c>
      <c r="T13" t="s">
        <v>82</v>
      </c>
      <c r="U13" t="s">
        <v>82</v>
      </c>
      <c r="X13" t="s">
        <v>80</v>
      </c>
    </row>
    <row r="14" spans="1:24">
      <c r="E14" t="s">
        <v>107</v>
      </c>
      <c r="F14" t="s">
        <v>108</v>
      </c>
      <c r="G14" t="s">
        <v>98</v>
      </c>
      <c r="I14" t="s">
        <v>109</v>
      </c>
      <c r="J14" t="s">
        <v>110</v>
      </c>
      <c r="M14" t="s">
        <v>80</v>
      </c>
      <c r="T14" t="s">
        <v>82</v>
      </c>
      <c r="U14" t="s">
        <v>82</v>
      </c>
      <c r="X14" t="s">
        <v>80</v>
      </c>
    </row>
    <row r="15" spans="1:24">
      <c r="E15" t="s">
        <v>111</v>
      </c>
      <c r="F15" t="s">
        <v>112</v>
      </c>
      <c r="G15" t="s">
        <v>98</v>
      </c>
      <c r="I15" t="s">
        <v>113</v>
      </c>
      <c r="J15" t="s">
        <v>113</v>
      </c>
      <c r="M15" t="s">
        <v>80</v>
      </c>
      <c r="T15" t="s">
        <v>82</v>
      </c>
      <c r="U15" t="s">
        <v>82</v>
      </c>
      <c r="X15" t="s">
        <v>80</v>
      </c>
    </row>
    <row r="16" spans="1:24">
      <c r="E16" t="s">
        <v>114</v>
      </c>
      <c r="F16" t="s">
        <v>115</v>
      </c>
      <c r="G16" t="s">
        <v>98</v>
      </c>
      <c r="I16" t="s">
        <v>116</v>
      </c>
      <c r="J16" t="s">
        <v>116</v>
      </c>
      <c r="M16" t="s">
        <v>80</v>
      </c>
      <c r="T16" t="s">
        <v>82</v>
      </c>
      <c r="U16" t="s">
        <v>82</v>
      </c>
      <c r="X16" t="s">
        <v>80</v>
      </c>
    </row>
    <row r="17" spans="1:24">
      <c r="E17" t="s">
        <v>117</v>
      </c>
      <c r="F17" t="s">
        <v>118</v>
      </c>
      <c r="G17" t="s">
        <v>98</v>
      </c>
      <c r="I17" t="s">
        <v>119</v>
      </c>
      <c r="J17" t="s">
        <v>119</v>
      </c>
      <c r="M17" t="s">
        <v>80</v>
      </c>
      <c r="T17" t="s">
        <v>82</v>
      </c>
      <c r="U17" t="s">
        <v>82</v>
      </c>
      <c r="X17" t="s">
        <v>80</v>
      </c>
    </row>
    <row r="18" spans="1:24">
      <c r="E18" t="s">
        <v>120</v>
      </c>
      <c r="F18" t="s">
        <v>121</v>
      </c>
      <c r="G18" t="s">
        <v>98</v>
      </c>
      <c r="I18" t="s">
        <v>122</v>
      </c>
      <c r="J18" t="s">
        <v>122</v>
      </c>
      <c r="M18" t="s">
        <v>80</v>
      </c>
      <c r="T18" t="s">
        <v>82</v>
      </c>
      <c r="U18" t="s">
        <v>82</v>
      </c>
      <c r="X18" t="s">
        <v>80</v>
      </c>
    </row>
    <row r="19" spans="1:24" ht="409.5">
      <c r="E19" t="s">
        <v>123</v>
      </c>
      <c r="F19" s="55" t="s">
        <v>338</v>
      </c>
      <c r="G19" t="s">
        <v>76</v>
      </c>
      <c r="H19" t="s">
        <v>77</v>
      </c>
      <c r="I19" t="s">
        <v>125</v>
      </c>
      <c r="J19" t="s">
        <v>125</v>
      </c>
      <c r="M19" t="s">
        <v>80</v>
      </c>
      <c r="P19" s="54" t="s">
        <v>337</v>
      </c>
      <c r="T19" t="s">
        <v>82</v>
      </c>
      <c r="U19" t="s">
        <v>82</v>
      </c>
      <c r="W19" t="s">
        <v>126</v>
      </c>
      <c r="X19" t="s">
        <v>80</v>
      </c>
    </row>
    <row r="20" spans="1:24">
      <c r="E20" t="s">
        <v>127</v>
      </c>
      <c r="F20" t="s">
        <v>128</v>
      </c>
      <c r="G20" t="s">
        <v>98</v>
      </c>
      <c r="I20" t="s">
        <v>129</v>
      </c>
      <c r="J20" t="s">
        <v>129</v>
      </c>
      <c r="M20" t="s">
        <v>80</v>
      </c>
      <c r="T20" t="s">
        <v>82</v>
      </c>
      <c r="U20" t="s">
        <v>82</v>
      </c>
      <c r="X20" t="s">
        <v>80</v>
      </c>
    </row>
    <row r="21" spans="1:24">
      <c r="E21" t="s">
        <v>130</v>
      </c>
      <c r="F21" t="s">
        <v>131</v>
      </c>
      <c r="G21" t="s">
        <v>98</v>
      </c>
      <c r="I21" t="s">
        <v>132</v>
      </c>
      <c r="J21" t="s">
        <v>132</v>
      </c>
      <c r="M21" t="s">
        <v>80</v>
      </c>
      <c r="T21" t="s">
        <v>82</v>
      </c>
      <c r="U21" t="s">
        <v>82</v>
      </c>
      <c r="X21" t="s">
        <v>80</v>
      </c>
    </row>
    <row r="22" spans="1:24">
      <c r="E22" t="s">
        <v>133</v>
      </c>
      <c r="F22" t="s">
        <v>134</v>
      </c>
      <c r="G22" t="s">
        <v>98</v>
      </c>
      <c r="I22" t="s">
        <v>135</v>
      </c>
      <c r="J22" t="s">
        <v>135</v>
      </c>
      <c r="M22" t="s">
        <v>80</v>
      </c>
      <c r="T22" t="s">
        <v>82</v>
      </c>
      <c r="U22" t="s">
        <v>82</v>
      </c>
      <c r="X22" t="s">
        <v>80</v>
      </c>
    </row>
    <row r="23" spans="1:24">
      <c r="E23" t="s">
        <v>136</v>
      </c>
      <c r="F23" t="s">
        <v>137</v>
      </c>
      <c r="G23" t="s">
        <v>138</v>
      </c>
      <c r="H23" t="s">
        <v>77</v>
      </c>
      <c r="I23" t="s">
        <v>139</v>
      </c>
      <c r="J23" t="s">
        <v>139</v>
      </c>
      <c r="K23" t="s">
        <v>140</v>
      </c>
      <c r="L23" t="s">
        <v>140</v>
      </c>
      <c r="M23" t="s">
        <v>80</v>
      </c>
      <c r="Q23" t="s">
        <v>141</v>
      </c>
      <c r="T23" t="s">
        <v>82</v>
      </c>
      <c r="U23" t="s">
        <v>82</v>
      </c>
      <c r="X23" t="s">
        <v>80</v>
      </c>
    </row>
    <row r="24" spans="1:24">
      <c r="E24" t="s">
        <v>142</v>
      </c>
      <c r="F24" t="s">
        <v>143</v>
      </c>
      <c r="G24" t="s">
        <v>138</v>
      </c>
      <c r="H24" t="s">
        <v>77</v>
      </c>
      <c r="I24" t="s">
        <v>144</v>
      </c>
      <c r="J24" t="s">
        <v>144</v>
      </c>
      <c r="K24" t="s">
        <v>145</v>
      </c>
      <c r="L24" t="s">
        <v>145</v>
      </c>
      <c r="M24" t="s">
        <v>80</v>
      </c>
      <c r="Q24" t="s">
        <v>146</v>
      </c>
      <c r="T24" t="s">
        <v>82</v>
      </c>
      <c r="U24" t="s">
        <v>82</v>
      </c>
      <c r="X24" t="s">
        <v>80</v>
      </c>
    </row>
    <row r="25" spans="1:24">
      <c r="E25" t="s">
        <v>147</v>
      </c>
      <c r="F25" t="s">
        <v>148</v>
      </c>
      <c r="G25" t="s">
        <v>98</v>
      </c>
      <c r="I25" t="s">
        <v>149</v>
      </c>
      <c r="J25" t="s">
        <v>149</v>
      </c>
      <c r="M25" t="s">
        <v>80</v>
      </c>
      <c r="T25" t="s">
        <v>82</v>
      </c>
      <c r="U25" t="s">
        <v>82</v>
      </c>
      <c r="X25" t="s">
        <v>80</v>
      </c>
    </row>
    <row r="27" spans="1:24">
      <c r="A27" t="s">
        <v>50</v>
      </c>
      <c r="B27" t="s">
        <v>51</v>
      </c>
      <c r="C27" t="s">
        <v>150</v>
      </c>
      <c r="D27" s="38" t="s">
        <v>151</v>
      </c>
      <c r="E27" s="39" t="s">
        <v>152</v>
      </c>
      <c r="F27" s="40" t="s">
        <v>153</v>
      </c>
      <c r="G27" t="s">
        <v>154</v>
      </c>
      <c r="H27" s="41" t="s">
        <v>155</v>
      </c>
      <c r="I27" t="s">
        <v>156</v>
      </c>
      <c r="J27" t="s">
        <v>157</v>
      </c>
      <c r="K27" t="s">
        <v>60</v>
      </c>
      <c r="L27" t="s">
        <v>61</v>
      </c>
      <c r="M27" s="42" t="s">
        <v>62</v>
      </c>
      <c r="N27" t="s">
        <v>158</v>
      </c>
      <c r="O27" t="s">
        <v>159</v>
      </c>
      <c r="P27" s="43" t="s">
        <v>160</v>
      </c>
      <c r="Q27" t="s">
        <v>161</v>
      </c>
      <c r="R27" t="s">
        <v>162</v>
      </c>
      <c r="S27" t="s">
        <v>70</v>
      </c>
    </row>
    <row r="28" spans="1:24">
      <c r="E28" t="s">
        <v>163</v>
      </c>
      <c r="F28" t="str">
        <f>值集数据!$E$11</f>
        <v>hpfm_lov-11</v>
      </c>
      <c r="G28" t="s">
        <v>97</v>
      </c>
      <c r="H28" t="s">
        <v>164</v>
      </c>
      <c r="I28" t="s">
        <v>165</v>
      </c>
      <c r="J28" t="s">
        <v>165</v>
      </c>
      <c r="M28" t="s">
        <v>80</v>
      </c>
      <c r="N28" t="s">
        <v>166</v>
      </c>
      <c r="O28" t="s">
        <v>167</v>
      </c>
      <c r="S28" t="s">
        <v>82</v>
      </c>
    </row>
    <row r="29" spans="1:24">
      <c r="E29" t="s">
        <v>163</v>
      </c>
      <c r="F29" t="str">
        <f>值集数据!$E$11</f>
        <v>hpfm_lov-11</v>
      </c>
      <c r="G29" t="s">
        <v>97</v>
      </c>
      <c r="H29" t="s">
        <v>168</v>
      </c>
      <c r="I29" t="s">
        <v>169</v>
      </c>
      <c r="J29" t="s">
        <v>169</v>
      </c>
      <c r="M29" t="s">
        <v>80</v>
      </c>
      <c r="O29" t="s">
        <v>170</v>
      </c>
      <c r="S29" t="s">
        <v>82</v>
      </c>
    </row>
    <row r="30" spans="1:24">
      <c r="E30" t="s">
        <v>163</v>
      </c>
      <c r="F30" t="str">
        <f>值集数据!$E$11</f>
        <v>hpfm_lov-11</v>
      </c>
      <c r="G30" t="s">
        <v>97</v>
      </c>
      <c r="H30" t="s">
        <v>171</v>
      </c>
      <c r="I30" t="s">
        <v>172</v>
      </c>
      <c r="J30" t="s">
        <v>173</v>
      </c>
      <c r="M30" t="s">
        <v>80</v>
      </c>
      <c r="N30" t="s">
        <v>166</v>
      </c>
      <c r="O30" t="s">
        <v>174</v>
      </c>
      <c r="S30" t="s">
        <v>82</v>
      </c>
    </row>
    <row r="31" spans="1:24">
      <c r="E31" t="s">
        <v>163</v>
      </c>
      <c r="F31" t="str">
        <f>值集数据!$E$12</f>
        <v>hpfm_lov-12</v>
      </c>
      <c r="G31" t="s">
        <v>102</v>
      </c>
      <c r="H31" t="s">
        <v>175</v>
      </c>
      <c r="I31" t="s">
        <v>176</v>
      </c>
      <c r="J31" t="s">
        <v>176</v>
      </c>
      <c r="M31" t="s">
        <v>80</v>
      </c>
      <c r="O31" t="s">
        <v>167</v>
      </c>
      <c r="S31" t="s">
        <v>82</v>
      </c>
    </row>
    <row r="32" spans="1:24">
      <c r="E32" t="s">
        <v>163</v>
      </c>
      <c r="F32" t="str">
        <f>值集数据!$E$12</f>
        <v>hpfm_lov-12</v>
      </c>
      <c r="G32" t="s">
        <v>102</v>
      </c>
      <c r="H32" t="s">
        <v>177</v>
      </c>
      <c r="I32" t="s">
        <v>178</v>
      </c>
      <c r="J32" t="s">
        <v>178</v>
      </c>
      <c r="M32" t="s">
        <v>80</v>
      </c>
      <c r="O32" t="s">
        <v>174</v>
      </c>
      <c r="S32" t="s">
        <v>82</v>
      </c>
    </row>
    <row r="33" spans="5:19">
      <c r="E33" t="s">
        <v>163</v>
      </c>
      <c r="F33" t="str">
        <f>值集数据!$E$12</f>
        <v>hpfm_lov-12</v>
      </c>
      <c r="G33" t="s">
        <v>102</v>
      </c>
      <c r="H33" t="s">
        <v>179</v>
      </c>
      <c r="I33" t="s">
        <v>180</v>
      </c>
      <c r="J33" t="s">
        <v>180</v>
      </c>
      <c r="M33" t="s">
        <v>80</v>
      </c>
      <c r="O33" t="s">
        <v>170</v>
      </c>
      <c r="S33" t="s">
        <v>82</v>
      </c>
    </row>
    <row r="34" spans="5:19">
      <c r="E34" t="s">
        <v>163</v>
      </c>
      <c r="F34" t="str">
        <f>值集数据!$E$13</f>
        <v>hpfm_lov-13</v>
      </c>
      <c r="G34" t="s">
        <v>105</v>
      </c>
      <c r="H34" t="s">
        <v>181</v>
      </c>
      <c r="I34" t="s">
        <v>182</v>
      </c>
      <c r="J34" t="s">
        <v>182</v>
      </c>
      <c r="M34" t="s">
        <v>80</v>
      </c>
      <c r="O34" t="s">
        <v>167</v>
      </c>
      <c r="S34" t="s">
        <v>82</v>
      </c>
    </row>
    <row r="35" spans="5:19">
      <c r="E35" t="s">
        <v>163</v>
      </c>
      <c r="F35" t="str">
        <f>值集数据!$E$13</f>
        <v>hpfm_lov-13</v>
      </c>
      <c r="G35" t="s">
        <v>105</v>
      </c>
      <c r="H35" t="s">
        <v>183</v>
      </c>
      <c r="I35" t="s">
        <v>184</v>
      </c>
      <c r="J35" t="s">
        <v>184</v>
      </c>
      <c r="M35" t="s">
        <v>80</v>
      </c>
      <c r="O35" t="s">
        <v>174</v>
      </c>
      <c r="S35" t="s">
        <v>82</v>
      </c>
    </row>
    <row r="36" spans="5:19">
      <c r="E36" t="s">
        <v>163</v>
      </c>
      <c r="F36" t="str">
        <f>值集数据!$E$13</f>
        <v>hpfm_lov-13</v>
      </c>
      <c r="G36" t="s">
        <v>105</v>
      </c>
      <c r="H36" t="s">
        <v>185</v>
      </c>
      <c r="I36" t="s">
        <v>186</v>
      </c>
      <c r="J36" t="s">
        <v>186</v>
      </c>
      <c r="M36" t="s">
        <v>80</v>
      </c>
      <c r="O36" t="s">
        <v>170</v>
      </c>
      <c r="S36" t="s">
        <v>82</v>
      </c>
    </row>
    <row r="37" spans="5:19">
      <c r="E37" t="s">
        <v>163</v>
      </c>
      <c r="F37" t="str">
        <f>值集数据!$E$14</f>
        <v>hpfm_lov-14</v>
      </c>
      <c r="G37" t="s">
        <v>108</v>
      </c>
      <c r="H37" t="s">
        <v>187</v>
      </c>
      <c r="I37" t="s">
        <v>188</v>
      </c>
      <c r="J37" t="s">
        <v>188</v>
      </c>
      <c r="M37" t="s">
        <v>80</v>
      </c>
      <c r="O37" t="s">
        <v>167</v>
      </c>
      <c r="S37" t="s">
        <v>82</v>
      </c>
    </row>
    <row r="38" spans="5:19">
      <c r="E38" t="s">
        <v>163</v>
      </c>
      <c r="F38" t="str">
        <f>值集数据!$E$15</f>
        <v>hpfm_lov-15</v>
      </c>
      <c r="G38" t="s">
        <v>112</v>
      </c>
      <c r="H38" t="s">
        <v>189</v>
      </c>
      <c r="I38" t="s">
        <v>190</v>
      </c>
      <c r="J38" t="s">
        <v>191</v>
      </c>
      <c r="M38" t="s">
        <v>80</v>
      </c>
      <c r="O38" t="s">
        <v>82</v>
      </c>
      <c r="S38" t="s">
        <v>82</v>
      </c>
    </row>
    <row r="39" spans="5:19">
      <c r="E39" t="s">
        <v>163</v>
      </c>
      <c r="F39" t="str">
        <f>值集数据!$E$15</f>
        <v>hpfm_lov-15</v>
      </c>
      <c r="G39" t="s">
        <v>112</v>
      </c>
      <c r="H39" t="s">
        <v>192</v>
      </c>
      <c r="I39" t="s">
        <v>193</v>
      </c>
      <c r="J39" t="s">
        <v>194</v>
      </c>
      <c r="M39" t="s">
        <v>80</v>
      </c>
      <c r="O39" t="s">
        <v>195</v>
      </c>
      <c r="S39" t="s">
        <v>82</v>
      </c>
    </row>
    <row r="40" spans="5:19">
      <c r="E40" t="s">
        <v>163</v>
      </c>
      <c r="F40" t="str">
        <f>值集数据!$E$16</f>
        <v>hpfm_lov-16</v>
      </c>
      <c r="G40" t="s">
        <v>115</v>
      </c>
      <c r="H40" t="s">
        <v>82</v>
      </c>
      <c r="I40" t="s">
        <v>196</v>
      </c>
      <c r="J40" t="s">
        <v>196</v>
      </c>
      <c r="M40" t="s">
        <v>80</v>
      </c>
      <c r="O40" t="s">
        <v>167</v>
      </c>
      <c r="S40" t="s">
        <v>82</v>
      </c>
    </row>
    <row r="41" spans="5:19">
      <c r="E41" t="s">
        <v>163</v>
      </c>
      <c r="F41" t="str">
        <f>值集数据!$E$16</f>
        <v>hpfm_lov-16</v>
      </c>
      <c r="G41" t="s">
        <v>115</v>
      </c>
      <c r="H41" t="s">
        <v>195</v>
      </c>
      <c r="I41" t="s">
        <v>197</v>
      </c>
      <c r="J41" t="s">
        <v>197</v>
      </c>
      <c r="M41" t="s">
        <v>80</v>
      </c>
      <c r="O41" t="s">
        <v>174</v>
      </c>
      <c r="S41" t="s">
        <v>82</v>
      </c>
    </row>
    <row r="42" spans="5:19">
      <c r="E42" t="s">
        <v>163</v>
      </c>
      <c r="F42" t="str">
        <f>值集数据!$E$16</f>
        <v>hpfm_lov-16</v>
      </c>
      <c r="G42" t="s">
        <v>115</v>
      </c>
      <c r="H42" t="s">
        <v>198</v>
      </c>
      <c r="I42" t="s">
        <v>199</v>
      </c>
      <c r="J42" t="s">
        <v>199</v>
      </c>
      <c r="M42" t="s">
        <v>80</v>
      </c>
      <c r="O42" t="s">
        <v>170</v>
      </c>
      <c r="S42" t="s">
        <v>82</v>
      </c>
    </row>
    <row r="43" spans="5:19">
      <c r="E43" t="s">
        <v>163</v>
      </c>
      <c r="F43" t="str">
        <f>值集数据!$E$16</f>
        <v>hpfm_lov-16</v>
      </c>
      <c r="G43" t="s">
        <v>115</v>
      </c>
      <c r="H43" t="s">
        <v>200</v>
      </c>
      <c r="I43" t="s">
        <v>201</v>
      </c>
      <c r="J43" t="s">
        <v>201</v>
      </c>
      <c r="M43" t="s">
        <v>80</v>
      </c>
      <c r="O43" t="s">
        <v>202</v>
      </c>
      <c r="S43" t="s">
        <v>82</v>
      </c>
    </row>
    <row r="44" spans="5:19">
      <c r="E44" t="s">
        <v>163</v>
      </c>
      <c r="F44" t="str">
        <f>值集数据!$E$16</f>
        <v>hpfm_lov-16</v>
      </c>
      <c r="G44" t="s">
        <v>115</v>
      </c>
      <c r="H44" t="s">
        <v>203</v>
      </c>
      <c r="I44" t="s">
        <v>204</v>
      </c>
      <c r="J44" t="s">
        <v>204</v>
      </c>
      <c r="M44" t="s">
        <v>80</v>
      </c>
      <c r="O44" t="s">
        <v>205</v>
      </c>
      <c r="S44" t="s">
        <v>82</v>
      </c>
    </row>
    <row r="45" spans="5:19">
      <c r="E45" t="s">
        <v>163</v>
      </c>
      <c r="F45" t="str">
        <f>值集数据!$E$16</f>
        <v>hpfm_lov-16</v>
      </c>
      <c r="G45" t="s">
        <v>115</v>
      </c>
      <c r="H45" t="s">
        <v>206</v>
      </c>
      <c r="I45" t="s">
        <v>207</v>
      </c>
      <c r="J45" t="s">
        <v>207</v>
      </c>
      <c r="M45" t="s">
        <v>80</v>
      </c>
      <c r="O45" t="s">
        <v>208</v>
      </c>
      <c r="S45" t="s">
        <v>82</v>
      </c>
    </row>
    <row r="46" spans="5:19">
      <c r="E46" t="s">
        <v>163</v>
      </c>
      <c r="F46" t="str">
        <f>值集数据!$E$16</f>
        <v>hpfm_lov-16</v>
      </c>
      <c r="G46" t="s">
        <v>115</v>
      </c>
      <c r="H46" t="s">
        <v>209</v>
      </c>
      <c r="I46" t="s">
        <v>210</v>
      </c>
      <c r="J46" t="s">
        <v>210</v>
      </c>
      <c r="M46" t="s">
        <v>80</v>
      </c>
      <c r="O46" t="s">
        <v>211</v>
      </c>
      <c r="S46" t="s">
        <v>82</v>
      </c>
    </row>
    <row r="47" spans="5:19">
      <c r="E47" t="s">
        <v>163</v>
      </c>
      <c r="F47" t="str">
        <f>值集数据!$E$17</f>
        <v>hpfm_lov-17</v>
      </c>
      <c r="G47" t="s">
        <v>118</v>
      </c>
      <c r="H47" t="s">
        <v>212</v>
      </c>
      <c r="I47" t="s">
        <v>213</v>
      </c>
      <c r="J47" t="s">
        <v>213</v>
      </c>
      <c r="M47" t="s">
        <v>80</v>
      </c>
      <c r="O47" t="s">
        <v>167</v>
      </c>
      <c r="S47" t="s">
        <v>82</v>
      </c>
    </row>
    <row r="48" spans="5:19">
      <c r="E48" t="s">
        <v>163</v>
      </c>
      <c r="F48" t="str">
        <f>值集数据!$E$17</f>
        <v>hpfm_lov-17</v>
      </c>
      <c r="G48" t="s">
        <v>118</v>
      </c>
      <c r="H48" t="s">
        <v>214</v>
      </c>
      <c r="I48" t="s">
        <v>215</v>
      </c>
      <c r="J48" t="s">
        <v>215</v>
      </c>
      <c r="M48" t="s">
        <v>80</v>
      </c>
      <c r="O48" t="s">
        <v>174</v>
      </c>
      <c r="S48" t="s">
        <v>82</v>
      </c>
    </row>
    <row r="49" spans="5:19">
      <c r="E49" t="s">
        <v>163</v>
      </c>
      <c r="F49" t="str">
        <f>值集数据!$E$17</f>
        <v>hpfm_lov-17</v>
      </c>
      <c r="G49" t="s">
        <v>118</v>
      </c>
      <c r="H49" t="s">
        <v>216</v>
      </c>
      <c r="I49" t="s">
        <v>217</v>
      </c>
      <c r="J49" t="s">
        <v>217</v>
      </c>
      <c r="M49" t="s">
        <v>80</v>
      </c>
      <c r="O49" t="s">
        <v>170</v>
      </c>
      <c r="S49" t="s">
        <v>82</v>
      </c>
    </row>
    <row r="50" spans="5:19">
      <c r="E50" t="s">
        <v>163</v>
      </c>
      <c r="F50" t="str">
        <f>值集数据!$E$17</f>
        <v>hpfm_lov-17</v>
      </c>
      <c r="G50" t="s">
        <v>118</v>
      </c>
      <c r="H50" t="s">
        <v>218</v>
      </c>
      <c r="I50" t="s">
        <v>219</v>
      </c>
      <c r="J50" t="s">
        <v>219</v>
      </c>
      <c r="M50" t="s">
        <v>80</v>
      </c>
      <c r="O50" t="s">
        <v>202</v>
      </c>
      <c r="S50" t="s">
        <v>82</v>
      </c>
    </row>
    <row r="51" spans="5:19">
      <c r="E51" t="s">
        <v>163</v>
      </c>
      <c r="F51" t="str">
        <f>值集数据!$E$17</f>
        <v>hpfm_lov-17</v>
      </c>
      <c r="G51" t="s">
        <v>118</v>
      </c>
      <c r="H51" t="s">
        <v>220</v>
      </c>
      <c r="I51" t="s">
        <v>221</v>
      </c>
      <c r="J51" t="s">
        <v>221</v>
      </c>
      <c r="M51" t="s">
        <v>80</v>
      </c>
      <c r="O51" t="s">
        <v>205</v>
      </c>
      <c r="S51" t="s">
        <v>82</v>
      </c>
    </row>
    <row r="52" spans="5:19">
      <c r="E52" t="s">
        <v>163</v>
      </c>
      <c r="F52" t="str">
        <f>值集数据!$E$17</f>
        <v>hpfm_lov-17</v>
      </c>
      <c r="G52" t="s">
        <v>118</v>
      </c>
      <c r="H52" t="s">
        <v>222</v>
      </c>
      <c r="I52" t="s">
        <v>223</v>
      </c>
      <c r="J52" t="s">
        <v>223</v>
      </c>
      <c r="M52" t="s">
        <v>80</v>
      </c>
      <c r="O52" t="s">
        <v>208</v>
      </c>
      <c r="S52" t="s">
        <v>82</v>
      </c>
    </row>
    <row r="53" spans="5:19">
      <c r="E53" t="s">
        <v>163</v>
      </c>
      <c r="F53" t="str">
        <f>值集数据!$E$18</f>
        <v>hpfm_lov-18</v>
      </c>
      <c r="G53" t="s">
        <v>121</v>
      </c>
      <c r="H53" t="s">
        <v>224</v>
      </c>
      <c r="I53" t="s">
        <v>225</v>
      </c>
      <c r="J53" t="s">
        <v>225</v>
      </c>
      <c r="M53" t="s">
        <v>80</v>
      </c>
      <c r="O53" t="s">
        <v>167</v>
      </c>
      <c r="S53" t="s">
        <v>82</v>
      </c>
    </row>
    <row r="54" spans="5:19">
      <c r="E54" t="s">
        <v>163</v>
      </c>
      <c r="F54" t="str">
        <f>值集数据!$E$18</f>
        <v>hpfm_lov-18</v>
      </c>
      <c r="G54" t="s">
        <v>121</v>
      </c>
      <c r="H54" t="s">
        <v>226</v>
      </c>
      <c r="I54" t="s">
        <v>227</v>
      </c>
      <c r="J54" t="s">
        <v>227</v>
      </c>
      <c r="M54" t="s">
        <v>80</v>
      </c>
      <c r="O54" t="s">
        <v>174</v>
      </c>
      <c r="S54" t="s">
        <v>82</v>
      </c>
    </row>
    <row r="55" spans="5:19">
      <c r="E55" t="s">
        <v>163</v>
      </c>
      <c r="F55" t="str">
        <f>值集数据!$E$18</f>
        <v>hpfm_lov-18</v>
      </c>
      <c r="G55" t="s">
        <v>121</v>
      </c>
      <c r="H55" t="s">
        <v>228</v>
      </c>
      <c r="I55" t="s">
        <v>229</v>
      </c>
      <c r="J55" t="s">
        <v>229</v>
      </c>
      <c r="M55" t="s">
        <v>80</v>
      </c>
      <c r="O55" t="s">
        <v>170</v>
      </c>
      <c r="S55" t="s">
        <v>82</v>
      </c>
    </row>
    <row r="56" spans="5:19">
      <c r="E56" t="s">
        <v>163</v>
      </c>
      <c r="F56" t="str">
        <f>值集数据!$E$18</f>
        <v>hpfm_lov-18</v>
      </c>
      <c r="G56" t="s">
        <v>121</v>
      </c>
      <c r="H56" t="s">
        <v>230</v>
      </c>
      <c r="I56" t="s">
        <v>231</v>
      </c>
      <c r="J56" t="s">
        <v>231</v>
      </c>
      <c r="M56" t="s">
        <v>80</v>
      </c>
      <c r="O56" t="s">
        <v>232</v>
      </c>
      <c r="S56" t="s">
        <v>82</v>
      </c>
    </row>
    <row r="57" spans="5:19">
      <c r="E57" t="s">
        <v>163</v>
      </c>
      <c r="F57" t="str">
        <f>值集数据!$E$20</f>
        <v>hpfm_lov-20</v>
      </c>
      <c r="G57" t="s">
        <v>128</v>
      </c>
      <c r="H57" t="s">
        <v>224</v>
      </c>
      <c r="I57" t="s">
        <v>225</v>
      </c>
      <c r="J57" t="s">
        <v>225</v>
      </c>
      <c r="M57" t="s">
        <v>80</v>
      </c>
      <c r="O57" t="s">
        <v>167</v>
      </c>
      <c r="S57" t="s">
        <v>82</v>
      </c>
    </row>
    <row r="58" spans="5:19">
      <c r="E58" t="s">
        <v>163</v>
      </c>
      <c r="F58" t="str">
        <f>值集数据!$E$20</f>
        <v>hpfm_lov-20</v>
      </c>
      <c r="G58" t="s">
        <v>128</v>
      </c>
      <c r="H58" t="s">
        <v>226</v>
      </c>
      <c r="I58" t="s">
        <v>227</v>
      </c>
      <c r="J58" t="s">
        <v>227</v>
      </c>
      <c r="M58" t="s">
        <v>80</v>
      </c>
      <c r="O58" t="s">
        <v>174</v>
      </c>
      <c r="S58" t="s">
        <v>82</v>
      </c>
    </row>
    <row r="59" spans="5:19">
      <c r="E59" t="s">
        <v>163</v>
      </c>
      <c r="F59" t="str">
        <f>值集数据!$E$21</f>
        <v>hpfm_lov-21</v>
      </c>
      <c r="G59" t="s">
        <v>131</v>
      </c>
      <c r="H59" t="s">
        <v>233</v>
      </c>
      <c r="I59" t="s">
        <v>233</v>
      </c>
      <c r="J59" t="s">
        <v>233</v>
      </c>
      <c r="M59" t="s">
        <v>80</v>
      </c>
      <c r="O59" t="s">
        <v>167</v>
      </c>
      <c r="S59" t="s">
        <v>82</v>
      </c>
    </row>
    <row r="60" spans="5:19">
      <c r="E60" t="s">
        <v>163</v>
      </c>
      <c r="F60" t="str">
        <f>值集数据!$E$21</f>
        <v>hpfm_lov-21</v>
      </c>
      <c r="G60" t="s">
        <v>131</v>
      </c>
      <c r="H60" t="s">
        <v>234</v>
      </c>
      <c r="I60" t="s">
        <v>235</v>
      </c>
      <c r="J60" t="s">
        <v>235</v>
      </c>
      <c r="M60" t="s">
        <v>80</v>
      </c>
      <c r="O60" t="s">
        <v>174</v>
      </c>
      <c r="S60" t="s">
        <v>82</v>
      </c>
    </row>
    <row r="61" spans="5:19">
      <c r="E61" t="s">
        <v>163</v>
      </c>
      <c r="F61" t="str">
        <f>值集数据!$E$21</f>
        <v>hpfm_lov-21</v>
      </c>
      <c r="G61" t="s">
        <v>131</v>
      </c>
      <c r="H61" t="s">
        <v>236</v>
      </c>
      <c r="I61" t="s">
        <v>237</v>
      </c>
      <c r="J61" t="s">
        <v>237</v>
      </c>
      <c r="M61" t="s">
        <v>80</v>
      </c>
      <c r="O61" t="s">
        <v>170</v>
      </c>
      <c r="S61" t="s">
        <v>82</v>
      </c>
    </row>
    <row r="62" spans="5:19">
      <c r="E62" t="s">
        <v>163</v>
      </c>
      <c r="F62" t="str">
        <f>值集数据!$E$21</f>
        <v>hpfm_lov-21</v>
      </c>
      <c r="G62" t="s">
        <v>131</v>
      </c>
      <c r="H62" t="s">
        <v>238</v>
      </c>
      <c r="I62" t="s">
        <v>239</v>
      </c>
      <c r="J62" t="s">
        <v>239</v>
      </c>
      <c r="M62" t="s">
        <v>80</v>
      </c>
      <c r="O62" t="s">
        <v>202</v>
      </c>
      <c r="S62" t="s">
        <v>82</v>
      </c>
    </row>
    <row r="63" spans="5:19">
      <c r="E63" t="s">
        <v>163</v>
      </c>
      <c r="F63" t="str">
        <f>值集数据!$E$21</f>
        <v>hpfm_lov-21</v>
      </c>
      <c r="G63" t="s">
        <v>131</v>
      </c>
      <c r="H63" t="s">
        <v>240</v>
      </c>
      <c r="I63" t="s">
        <v>241</v>
      </c>
      <c r="J63" t="s">
        <v>241</v>
      </c>
      <c r="M63" t="s">
        <v>80</v>
      </c>
      <c r="O63" t="s">
        <v>205</v>
      </c>
      <c r="S63" t="s">
        <v>82</v>
      </c>
    </row>
    <row r="64" spans="5:19">
      <c r="E64" t="s">
        <v>163</v>
      </c>
      <c r="F64" t="str">
        <f>值集数据!$E$21</f>
        <v>hpfm_lov-21</v>
      </c>
      <c r="G64" t="s">
        <v>131</v>
      </c>
      <c r="H64" t="s">
        <v>242</v>
      </c>
      <c r="I64" t="s">
        <v>243</v>
      </c>
      <c r="J64" t="s">
        <v>243</v>
      </c>
      <c r="M64" t="s">
        <v>80</v>
      </c>
      <c r="O64" t="s">
        <v>208</v>
      </c>
      <c r="S64" t="s">
        <v>82</v>
      </c>
    </row>
    <row r="65" spans="1:20">
      <c r="E65" t="s">
        <v>163</v>
      </c>
      <c r="F65" t="str">
        <f>值集数据!$E$21</f>
        <v>hpfm_lov-21</v>
      </c>
      <c r="G65" t="s">
        <v>131</v>
      </c>
      <c r="H65" t="s">
        <v>244</v>
      </c>
      <c r="I65" t="s">
        <v>245</v>
      </c>
      <c r="J65" t="s">
        <v>245</v>
      </c>
      <c r="M65" t="s">
        <v>80</v>
      </c>
      <c r="O65" t="s">
        <v>246</v>
      </c>
      <c r="S65" t="s">
        <v>82</v>
      </c>
    </row>
    <row r="66" spans="1:20">
      <c r="E66" t="s">
        <v>163</v>
      </c>
      <c r="F66" t="str">
        <f>值集数据!$E$22</f>
        <v>hpfm_lov-22</v>
      </c>
      <c r="G66" t="s">
        <v>134</v>
      </c>
      <c r="H66" t="s">
        <v>247</v>
      </c>
      <c r="I66" t="s">
        <v>248</v>
      </c>
      <c r="J66" t="s">
        <v>248</v>
      </c>
      <c r="M66" t="s">
        <v>80</v>
      </c>
      <c r="O66" t="s">
        <v>167</v>
      </c>
      <c r="S66" t="s">
        <v>82</v>
      </c>
    </row>
    <row r="67" spans="1:20">
      <c r="E67" t="s">
        <v>163</v>
      </c>
      <c r="F67" t="str">
        <f>值集数据!$E$22</f>
        <v>hpfm_lov-22</v>
      </c>
      <c r="G67" t="s">
        <v>134</v>
      </c>
      <c r="H67" t="s">
        <v>249</v>
      </c>
      <c r="I67" t="s">
        <v>44</v>
      </c>
      <c r="J67" t="s">
        <v>44</v>
      </c>
      <c r="M67" t="s">
        <v>80</v>
      </c>
      <c r="O67" t="s">
        <v>174</v>
      </c>
      <c r="S67" t="s">
        <v>82</v>
      </c>
    </row>
    <row r="68" spans="1:20">
      <c r="E68" t="s">
        <v>163</v>
      </c>
      <c r="F68" t="str">
        <f>值集数据!$E$22</f>
        <v>hpfm_lov-22</v>
      </c>
      <c r="G68" t="s">
        <v>134</v>
      </c>
      <c r="H68" t="s">
        <v>250</v>
      </c>
      <c r="I68" t="s">
        <v>235</v>
      </c>
      <c r="J68" t="s">
        <v>235</v>
      </c>
      <c r="M68" t="s">
        <v>80</v>
      </c>
      <c r="O68" t="s">
        <v>170</v>
      </c>
      <c r="S68" t="s">
        <v>82</v>
      </c>
    </row>
    <row r="69" spans="1:20">
      <c r="E69" t="s">
        <v>163</v>
      </c>
      <c r="F69" t="str">
        <f>值集数据!$E$25</f>
        <v>hpfm_lov-25</v>
      </c>
      <c r="G69" t="s">
        <v>148</v>
      </c>
      <c r="H69" t="s">
        <v>251</v>
      </c>
      <c r="I69" t="s">
        <v>252</v>
      </c>
      <c r="J69" t="s">
        <v>252</v>
      </c>
      <c r="M69" t="s">
        <v>80</v>
      </c>
      <c r="O69" t="s">
        <v>167</v>
      </c>
      <c r="S69" t="s">
        <v>82</v>
      </c>
    </row>
    <row r="70" spans="1:20">
      <c r="E70" t="s">
        <v>163</v>
      </c>
      <c r="F70" t="str">
        <f>值集数据!$E$25</f>
        <v>hpfm_lov-25</v>
      </c>
      <c r="G70" t="s">
        <v>148</v>
      </c>
      <c r="H70" t="s">
        <v>253</v>
      </c>
      <c r="I70" t="s">
        <v>254</v>
      </c>
      <c r="J70" t="s">
        <v>254</v>
      </c>
      <c r="M70" t="s">
        <v>80</v>
      </c>
      <c r="O70" t="s">
        <v>174</v>
      </c>
      <c r="S70" t="s">
        <v>82</v>
      </c>
    </row>
    <row r="71" spans="1:20">
      <c r="E71" t="s">
        <v>163</v>
      </c>
      <c r="F71" t="str">
        <f>值集数据!$E$25</f>
        <v>hpfm_lov-25</v>
      </c>
      <c r="G71" t="s">
        <v>148</v>
      </c>
      <c r="H71" t="s">
        <v>255</v>
      </c>
      <c r="I71" t="s">
        <v>256</v>
      </c>
      <c r="J71" t="s">
        <v>256</v>
      </c>
      <c r="M71" t="s">
        <v>80</v>
      </c>
      <c r="O71" t="s">
        <v>170</v>
      </c>
      <c r="S71" t="s">
        <v>82</v>
      </c>
    </row>
    <row r="72" spans="1:20">
      <c r="E72" t="s">
        <v>163</v>
      </c>
      <c r="F72" t="str">
        <f>值集数据!$E$25</f>
        <v>hpfm_lov-25</v>
      </c>
      <c r="G72" t="s">
        <v>148</v>
      </c>
      <c r="H72" t="s">
        <v>257</v>
      </c>
      <c r="I72" t="s">
        <v>258</v>
      </c>
      <c r="J72" t="s">
        <v>258</v>
      </c>
      <c r="M72" t="s">
        <v>80</v>
      </c>
      <c r="O72" t="s">
        <v>202</v>
      </c>
      <c r="S72" t="s">
        <v>82</v>
      </c>
    </row>
    <row r="74" spans="1:20">
      <c r="A74" t="s">
        <v>50</v>
      </c>
      <c r="B74" t="s">
        <v>51</v>
      </c>
      <c r="C74" t="s">
        <v>259</v>
      </c>
      <c r="D74" s="44" t="s">
        <v>260</v>
      </c>
      <c r="E74" s="45" t="s">
        <v>261</v>
      </c>
      <c r="F74" s="46" t="s">
        <v>262</v>
      </c>
      <c r="G74" t="s">
        <v>263</v>
      </c>
      <c r="H74" t="s">
        <v>264</v>
      </c>
      <c r="I74" s="47" t="s">
        <v>265</v>
      </c>
      <c r="J74" s="48" t="s">
        <v>62</v>
      </c>
      <c r="K74" t="s">
        <v>67</v>
      </c>
      <c r="L74" t="s">
        <v>68</v>
      </c>
      <c r="M74" t="s">
        <v>266</v>
      </c>
      <c r="N74" t="s">
        <v>267</v>
      </c>
      <c r="O74" t="s">
        <v>268</v>
      </c>
      <c r="P74" t="s">
        <v>269</v>
      </c>
      <c r="Q74" t="s">
        <v>270</v>
      </c>
      <c r="R74" t="s">
        <v>271</v>
      </c>
      <c r="S74" t="s">
        <v>272</v>
      </c>
      <c r="T74" t="s">
        <v>70</v>
      </c>
    </row>
    <row r="75" spans="1:20">
      <c r="E75" t="s">
        <v>273</v>
      </c>
      <c r="F75" t="s">
        <v>75</v>
      </c>
      <c r="G75" t="s">
        <v>274</v>
      </c>
      <c r="H75" t="s">
        <v>274</v>
      </c>
      <c r="I75" t="str">
        <f>值集数据!$E$8</f>
        <v>hpfm_lov-8</v>
      </c>
      <c r="J75" t="s">
        <v>80</v>
      </c>
      <c r="K75" t="s">
        <v>83</v>
      </c>
      <c r="L75" t="s">
        <v>275</v>
      </c>
      <c r="M75" t="s">
        <v>276</v>
      </c>
      <c r="N75" t="s">
        <v>276</v>
      </c>
      <c r="Q75" t="s">
        <v>167</v>
      </c>
      <c r="R75" t="s">
        <v>80</v>
      </c>
      <c r="T75" t="s">
        <v>82</v>
      </c>
    </row>
    <row r="76" spans="1:20">
      <c r="E76" t="s">
        <v>277</v>
      </c>
      <c r="F76" t="s">
        <v>85</v>
      </c>
      <c r="G76" t="s">
        <v>278</v>
      </c>
      <c r="H76" t="s">
        <v>278</v>
      </c>
      <c r="I76" t="str">
        <f>值集数据!$E$9</f>
        <v>hpfm_lov-9</v>
      </c>
      <c r="J76" t="s">
        <v>80</v>
      </c>
      <c r="K76" t="s">
        <v>89</v>
      </c>
      <c r="L76" t="s">
        <v>279</v>
      </c>
      <c r="M76" t="s">
        <v>280</v>
      </c>
      <c r="N76" t="s">
        <v>280</v>
      </c>
      <c r="Q76" t="s">
        <v>167</v>
      </c>
      <c r="R76" t="s">
        <v>80</v>
      </c>
      <c r="T76" t="s">
        <v>82</v>
      </c>
    </row>
    <row r="77" spans="1:20">
      <c r="E77" t="s">
        <v>281</v>
      </c>
      <c r="F77" t="s">
        <v>282</v>
      </c>
      <c r="G77" t="s">
        <v>283</v>
      </c>
      <c r="H77" t="s">
        <v>283</v>
      </c>
      <c r="I77" t="str">
        <f>值集数据!$E$23</f>
        <v>hpfm_lov-23</v>
      </c>
      <c r="J77" t="s">
        <v>80</v>
      </c>
      <c r="K77" t="s">
        <v>284</v>
      </c>
      <c r="L77" t="s">
        <v>285</v>
      </c>
      <c r="M77" t="s">
        <v>286</v>
      </c>
      <c r="N77" t="s">
        <v>286</v>
      </c>
      <c r="Q77" t="s">
        <v>167</v>
      </c>
      <c r="R77" t="s">
        <v>80</v>
      </c>
      <c r="T77" t="s">
        <v>82</v>
      </c>
    </row>
    <row r="78" spans="1:20">
      <c r="E78" t="s">
        <v>287</v>
      </c>
      <c r="F78" t="s">
        <v>91</v>
      </c>
      <c r="G78" t="s">
        <v>92</v>
      </c>
      <c r="H78" t="s">
        <v>92</v>
      </c>
      <c r="I78" t="str">
        <f>值集数据!$E$10</f>
        <v>hpfm_lov-10</v>
      </c>
      <c r="J78" t="s">
        <v>80</v>
      </c>
      <c r="K78" t="s">
        <v>94</v>
      </c>
      <c r="L78" t="s">
        <v>95</v>
      </c>
      <c r="M78" t="s">
        <v>288</v>
      </c>
      <c r="N78" t="s">
        <v>288</v>
      </c>
      <c r="Q78" t="s">
        <v>167</v>
      </c>
      <c r="R78" t="s">
        <v>80</v>
      </c>
      <c r="T78" t="s">
        <v>82</v>
      </c>
    </row>
    <row r="79" spans="1:20">
      <c r="E79" t="s">
        <v>289</v>
      </c>
      <c r="F79" t="s">
        <v>124</v>
      </c>
      <c r="G79" t="s">
        <v>125</v>
      </c>
      <c r="H79" t="s">
        <v>125</v>
      </c>
      <c r="I79" t="str">
        <f>值集数据!$E$19</f>
        <v>hpfm_lov-19</v>
      </c>
      <c r="J79" t="s">
        <v>80</v>
      </c>
      <c r="K79" t="s">
        <v>126</v>
      </c>
      <c r="L79" s="55" t="s">
        <v>343</v>
      </c>
      <c r="M79" t="s">
        <v>290</v>
      </c>
      <c r="N79" t="s">
        <v>290</v>
      </c>
      <c r="Q79" t="s">
        <v>167</v>
      </c>
      <c r="R79" t="s">
        <v>80</v>
      </c>
      <c r="T79" t="s">
        <v>82</v>
      </c>
    </row>
    <row r="80" spans="1:20">
      <c r="E80" t="s">
        <v>291</v>
      </c>
      <c r="F80" t="s">
        <v>143</v>
      </c>
      <c r="G80" t="s">
        <v>292</v>
      </c>
      <c r="H80" t="s">
        <v>292</v>
      </c>
      <c r="I80" t="str">
        <f>值集数据!$E$24</f>
        <v>hpfm_lov-24</v>
      </c>
      <c r="J80" t="s">
        <v>80</v>
      </c>
      <c r="K80" t="s">
        <v>284</v>
      </c>
      <c r="L80" t="s">
        <v>285</v>
      </c>
      <c r="M80" t="s">
        <v>286</v>
      </c>
      <c r="N80" t="s">
        <v>286</v>
      </c>
      <c r="Q80" t="s">
        <v>167</v>
      </c>
      <c r="R80" t="s">
        <v>80</v>
      </c>
      <c r="T80" t="s">
        <v>82</v>
      </c>
    </row>
    <row r="82" spans="1:16">
      <c r="A82" t="s">
        <v>50</v>
      </c>
      <c r="B82" t="s">
        <v>51</v>
      </c>
      <c r="C82" t="s">
        <v>293</v>
      </c>
      <c r="D82" s="49" t="s">
        <v>294</v>
      </c>
      <c r="E82" s="50" t="s">
        <v>295</v>
      </c>
      <c r="F82" s="51" t="s">
        <v>296</v>
      </c>
      <c r="G82" t="s">
        <v>297</v>
      </c>
      <c r="H82" s="52" t="s">
        <v>265</v>
      </c>
      <c r="I82" t="s">
        <v>298</v>
      </c>
      <c r="J82" t="s">
        <v>299</v>
      </c>
      <c r="K82" t="s">
        <v>159</v>
      </c>
      <c r="L82" s="53" t="s">
        <v>300</v>
      </c>
      <c r="M82" t="s">
        <v>301</v>
      </c>
      <c r="N82" t="s">
        <v>302</v>
      </c>
      <c r="O82" t="s">
        <v>303</v>
      </c>
      <c r="P82" t="s">
        <v>70</v>
      </c>
    </row>
    <row r="83" spans="1:16">
      <c r="E83" t="s">
        <v>304</v>
      </c>
      <c r="F83" t="str">
        <f>值集数据!$E$75</f>
        <v>hpfm_lov_view_header-75</v>
      </c>
      <c r="G83" t="s">
        <v>80</v>
      </c>
      <c r="H83" t="str">
        <f>值集数据!$E$8</f>
        <v>hpfm_lov-8</v>
      </c>
      <c r="I83" t="s">
        <v>305</v>
      </c>
      <c r="J83" t="s">
        <v>305</v>
      </c>
      <c r="K83" t="s">
        <v>167</v>
      </c>
      <c r="L83" t="s">
        <v>306</v>
      </c>
      <c r="M83" t="s">
        <v>82</v>
      </c>
      <c r="N83" t="s">
        <v>82</v>
      </c>
      <c r="O83" t="s">
        <v>307</v>
      </c>
      <c r="P83" t="s">
        <v>82</v>
      </c>
    </row>
    <row r="84" spans="1:16">
      <c r="E84" t="s">
        <v>308</v>
      </c>
      <c r="F84" t="str">
        <f>值集数据!$E$75</f>
        <v>hpfm_lov_view_header-75</v>
      </c>
      <c r="G84" t="s">
        <v>80</v>
      </c>
      <c r="H84" t="str">
        <f>值集数据!$E$8</f>
        <v>hpfm_lov-8</v>
      </c>
      <c r="I84" t="s">
        <v>309</v>
      </c>
      <c r="J84" t="s">
        <v>309</v>
      </c>
      <c r="K84" t="s">
        <v>174</v>
      </c>
      <c r="L84" t="s">
        <v>275</v>
      </c>
      <c r="M84" t="s">
        <v>82</v>
      </c>
      <c r="N84" t="s">
        <v>82</v>
      </c>
      <c r="O84" t="s">
        <v>307</v>
      </c>
      <c r="P84" t="s">
        <v>82</v>
      </c>
    </row>
    <row r="85" spans="1:16">
      <c r="E85" t="s">
        <v>310</v>
      </c>
      <c r="F85" t="str">
        <f>值集数据!$E$75</f>
        <v>hpfm_lov_view_header-75</v>
      </c>
      <c r="G85" t="s">
        <v>80</v>
      </c>
      <c r="H85" t="str">
        <f>值集数据!$E$8</f>
        <v>hpfm_lov-8</v>
      </c>
      <c r="I85" t="s">
        <v>311</v>
      </c>
      <c r="J85" t="s">
        <v>311</v>
      </c>
      <c r="K85" t="s">
        <v>170</v>
      </c>
      <c r="L85" t="s">
        <v>312</v>
      </c>
      <c r="M85" t="s">
        <v>80</v>
      </c>
      <c r="N85" t="s">
        <v>82</v>
      </c>
      <c r="O85" t="s">
        <v>307</v>
      </c>
      <c r="P85" t="s">
        <v>82</v>
      </c>
    </row>
    <row r="86" spans="1:16">
      <c r="E86" t="s">
        <v>313</v>
      </c>
      <c r="F86" t="str">
        <f>值集数据!$E$76</f>
        <v>hpfm_lov_view_header-76</v>
      </c>
      <c r="G86" t="s">
        <v>80</v>
      </c>
      <c r="H86" t="str">
        <f>值集数据!$E$9</f>
        <v>hpfm_lov-9</v>
      </c>
      <c r="I86" t="s">
        <v>314</v>
      </c>
      <c r="J86" t="s">
        <v>314</v>
      </c>
      <c r="K86" t="s">
        <v>174</v>
      </c>
      <c r="L86" t="s">
        <v>315</v>
      </c>
      <c r="M86" t="s">
        <v>82</v>
      </c>
      <c r="N86" t="s">
        <v>82</v>
      </c>
      <c r="O86" t="s">
        <v>316</v>
      </c>
      <c r="P86" t="s">
        <v>82</v>
      </c>
    </row>
    <row r="87" spans="1:16">
      <c r="E87" t="s">
        <v>317</v>
      </c>
      <c r="F87" t="str">
        <f>值集数据!$E$76</f>
        <v>hpfm_lov_view_header-76</v>
      </c>
      <c r="G87" t="s">
        <v>80</v>
      </c>
      <c r="H87" t="str">
        <f>值集数据!$E$9</f>
        <v>hpfm_lov-9</v>
      </c>
      <c r="I87" t="s">
        <v>318</v>
      </c>
      <c r="J87" t="s">
        <v>318</v>
      </c>
      <c r="K87" t="s">
        <v>167</v>
      </c>
      <c r="L87" t="s">
        <v>279</v>
      </c>
      <c r="M87" t="s">
        <v>82</v>
      </c>
      <c r="N87" t="s">
        <v>82</v>
      </c>
      <c r="O87" t="s">
        <v>316</v>
      </c>
      <c r="P87" t="s">
        <v>82</v>
      </c>
    </row>
    <row r="88" spans="1:16">
      <c r="E88" t="s">
        <v>319</v>
      </c>
      <c r="F88" t="str">
        <f>值集数据!$E$77</f>
        <v>hpfm_lov_view_header-77</v>
      </c>
      <c r="G88" t="s">
        <v>80</v>
      </c>
      <c r="H88" t="str">
        <f>值集数据!$E$23</f>
        <v>hpfm_lov-23</v>
      </c>
      <c r="I88" t="s">
        <v>320</v>
      </c>
      <c r="J88" t="s">
        <v>320</v>
      </c>
      <c r="K88" t="s">
        <v>167</v>
      </c>
      <c r="L88" t="s">
        <v>321</v>
      </c>
      <c r="M88" t="s">
        <v>82</v>
      </c>
      <c r="N88" t="s">
        <v>82</v>
      </c>
      <c r="O88" t="s">
        <v>322</v>
      </c>
      <c r="P88" t="s">
        <v>82</v>
      </c>
    </row>
    <row r="89" spans="1:16">
      <c r="E89" t="s">
        <v>323</v>
      </c>
      <c r="F89" t="str">
        <f>值集数据!$E$77</f>
        <v>hpfm_lov_view_header-77</v>
      </c>
      <c r="G89" t="s">
        <v>80</v>
      </c>
      <c r="H89" t="str">
        <f>值集数据!$E$23</f>
        <v>hpfm_lov-23</v>
      </c>
      <c r="I89" t="s">
        <v>324</v>
      </c>
      <c r="J89" t="s">
        <v>324</v>
      </c>
      <c r="K89" t="s">
        <v>174</v>
      </c>
      <c r="L89" t="s">
        <v>285</v>
      </c>
      <c r="M89" t="s">
        <v>82</v>
      </c>
      <c r="N89" t="s">
        <v>82</v>
      </c>
      <c r="O89" t="s">
        <v>322</v>
      </c>
      <c r="P89" t="s">
        <v>82</v>
      </c>
    </row>
    <row r="90" spans="1:16">
      <c r="E90" t="s">
        <v>325</v>
      </c>
      <c r="F90" t="str">
        <f>值集数据!$E$78</f>
        <v>hpfm_lov_view_header-78</v>
      </c>
      <c r="G90" t="s">
        <v>80</v>
      </c>
      <c r="H90" t="str">
        <f>值集数据!$E$10</f>
        <v>hpfm_lov-10</v>
      </c>
      <c r="I90" t="s">
        <v>326</v>
      </c>
      <c r="J90" t="s">
        <v>326</v>
      </c>
      <c r="K90" t="s">
        <v>167</v>
      </c>
      <c r="L90" t="s">
        <v>327</v>
      </c>
      <c r="M90" t="s">
        <v>82</v>
      </c>
      <c r="N90" t="s">
        <v>82</v>
      </c>
      <c r="O90" t="s">
        <v>316</v>
      </c>
      <c r="P90" t="s">
        <v>82</v>
      </c>
    </row>
    <row r="91" spans="1:16">
      <c r="E91" t="s">
        <v>328</v>
      </c>
      <c r="F91" t="str">
        <f>值集数据!$E$78</f>
        <v>hpfm_lov_view_header-78</v>
      </c>
      <c r="G91" t="s">
        <v>80</v>
      </c>
      <c r="H91" t="str">
        <f>值集数据!$E$10</f>
        <v>hpfm_lov-10</v>
      </c>
      <c r="I91" t="s">
        <v>329</v>
      </c>
      <c r="J91" t="s">
        <v>329</v>
      </c>
      <c r="K91" t="s">
        <v>174</v>
      </c>
      <c r="L91" t="s">
        <v>95</v>
      </c>
      <c r="M91" t="s">
        <v>82</v>
      </c>
      <c r="N91" t="s">
        <v>82</v>
      </c>
      <c r="O91" t="s">
        <v>316</v>
      </c>
      <c r="P91" t="s">
        <v>82</v>
      </c>
    </row>
    <row r="92" spans="1:16">
      <c r="E92" t="s">
        <v>330</v>
      </c>
      <c r="F92" t="str">
        <f>值集数据!$E$79</f>
        <v>hpfm_lov_view_header-79</v>
      </c>
      <c r="G92" t="s">
        <v>80</v>
      </c>
      <c r="H92" t="str">
        <f>值集数据!$E$19</f>
        <v>hpfm_lov-19</v>
      </c>
      <c r="I92" t="s">
        <v>331</v>
      </c>
      <c r="J92" t="s">
        <v>331</v>
      </c>
      <c r="K92" t="s">
        <v>170</v>
      </c>
      <c r="L92" t="s">
        <v>315</v>
      </c>
      <c r="M92" t="s">
        <v>82</v>
      </c>
      <c r="N92" t="s">
        <v>82</v>
      </c>
      <c r="O92" t="s">
        <v>322</v>
      </c>
      <c r="P92" t="s">
        <v>82</v>
      </c>
    </row>
    <row r="93" spans="1:16">
      <c r="E93" t="s">
        <v>332</v>
      </c>
      <c r="F93" t="str">
        <f>值集数据!$E$79</f>
        <v>hpfm_lov_view_header-79</v>
      </c>
      <c r="G93" t="s">
        <v>80</v>
      </c>
      <c r="H93" t="str">
        <f>值集数据!$E$19</f>
        <v>hpfm_lov-19</v>
      </c>
      <c r="I93" t="s">
        <v>333</v>
      </c>
      <c r="J93" t="s">
        <v>333</v>
      </c>
      <c r="K93" t="s">
        <v>174</v>
      </c>
      <c r="L93" t="s">
        <v>334</v>
      </c>
      <c r="M93" t="s">
        <v>82</v>
      </c>
      <c r="N93" t="s">
        <v>82</v>
      </c>
      <c r="O93" t="s">
        <v>307</v>
      </c>
      <c r="P93" t="s">
        <v>82</v>
      </c>
    </row>
    <row r="94" spans="1:16">
      <c r="E94" t="s">
        <v>335</v>
      </c>
      <c r="F94" t="str">
        <f>值集数据!$E$79</f>
        <v>hpfm_lov_view_header-79</v>
      </c>
      <c r="G94" t="s">
        <v>80</v>
      </c>
      <c r="H94" t="str">
        <f>值集数据!$E$19</f>
        <v>hpfm_lov-19</v>
      </c>
      <c r="I94" t="s">
        <v>336</v>
      </c>
      <c r="J94" t="s">
        <v>336</v>
      </c>
      <c r="K94" t="s">
        <v>167</v>
      </c>
      <c r="L94" t="s">
        <v>126</v>
      </c>
      <c r="M94">
        <v>0</v>
      </c>
      <c r="N94">
        <v>0</v>
      </c>
      <c r="O94" t="s">
        <v>307</v>
      </c>
      <c r="P94" t="s">
        <v>82</v>
      </c>
    </row>
    <row r="95" spans="1:16">
      <c r="E95" s="55" t="s">
        <v>339</v>
      </c>
      <c r="F95" t="str">
        <f>值集数据!$E$79</f>
        <v>hpfm_lov_view_header-79</v>
      </c>
      <c r="G95" t="s">
        <v>80</v>
      </c>
      <c r="H95" t="str">
        <f>值集数据!$E$19</f>
        <v>hpfm_lov-19</v>
      </c>
      <c r="I95" t="s">
        <v>336</v>
      </c>
      <c r="J95" t="s">
        <v>336</v>
      </c>
      <c r="K95">
        <v>5</v>
      </c>
      <c r="L95" s="55" t="s">
        <v>342</v>
      </c>
      <c r="M95" t="s">
        <v>82</v>
      </c>
      <c r="N95" t="s">
        <v>82</v>
      </c>
      <c r="O95" t="s">
        <v>307</v>
      </c>
      <c r="P95" t="s">
        <v>82</v>
      </c>
    </row>
    <row r="96" spans="1:16">
      <c r="E96" s="55" t="s">
        <v>340</v>
      </c>
      <c r="F96" t="str">
        <f>值集数据!$E$80</f>
        <v>hpfm_lov_view_header-80</v>
      </c>
      <c r="G96" t="s">
        <v>80</v>
      </c>
      <c r="H96" t="str">
        <f>值集数据!$E$24</f>
        <v>hpfm_lov-24</v>
      </c>
      <c r="I96" t="s">
        <v>320</v>
      </c>
      <c r="J96" t="s">
        <v>320</v>
      </c>
      <c r="K96" t="s">
        <v>167</v>
      </c>
      <c r="L96" t="s">
        <v>321</v>
      </c>
      <c r="M96" t="s">
        <v>82</v>
      </c>
      <c r="N96" t="s">
        <v>82</v>
      </c>
      <c r="O96" t="s">
        <v>322</v>
      </c>
      <c r="P96" t="s">
        <v>82</v>
      </c>
    </row>
    <row r="97" spans="5:16">
      <c r="E97" s="55" t="s">
        <v>341</v>
      </c>
      <c r="F97" t="str">
        <f>值集数据!$E$80</f>
        <v>hpfm_lov_view_header-80</v>
      </c>
      <c r="G97" t="s">
        <v>80</v>
      </c>
      <c r="H97" t="str">
        <f>值集数据!$E$24</f>
        <v>hpfm_lov-24</v>
      </c>
      <c r="I97" t="s">
        <v>324</v>
      </c>
      <c r="J97" t="s">
        <v>324</v>
      </c>
      <c r="K97" t="s">
        <v>174</v>
      </c>
      <c r="L97" t="s">
        <v>285</v>
      </c>
      <c r="M97" t="s">
        <v>82</v>
      </c>
      <c r="N97" t="s">
        <v>82</v>
      </c>
      <c r="O97" t="s">
        <v>322</v>
      </c>
      <c r="P97" t="s">
        <v>82</v>
      </c>
    </row>
  </sheetData>
  <phoneticPr fontId="1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README</vt:lpstr>
      <vt:lpstr>值集数据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Mr zhu</cp:lastModifiedBy>
  <cp:revision>2</cp:revision>
  <dcterms:created xsi:type="dcterms:W3CDTF">2016-10-02T09:34:00Z</dcterms:created>
  <dcterms:modified xsi:type="dcterms:W3CDTF">2020-07-16T07:34:36Z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