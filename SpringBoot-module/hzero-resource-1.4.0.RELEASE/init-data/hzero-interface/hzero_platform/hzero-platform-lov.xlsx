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7"/>
  <workbookPr/>
  <mc:AlternateContent xmlns:mc="http://schemas.openxmlformats.org/markup-compatibility/2006">
    <mc:Choice Requires="x15">
      <x15ac:absPath xmlns:x15ac="http://schemas.microsoft.com/office/spreadsheetml/2010/11/ac" url="/Users/qiuchen/workspace/hzero/hzero-resource/init-data/saas/hzero-interface/hzero_platform/"/>
    </mc:Choice>
  </mc:AlternateContent>
  <xr:revisionPtr revIDLastSave="0" documentId="13_ncr:1_{90EE90F5-2FB3-0F45-9D0D-00A6286991D5}" xr6:coauthVersionLast="36" xr6:coauthVersionMax="45" xr10:uidLastSave="{00000000-0000-0000-0000-000000000000}"/>
  <bookViews>
    <workbookView xWindow="0" yWindow="460" windowWidth="33600" windowHeight="19020" tabRatio="597" activeTab="1" xr2:uid="{00000000-000D-0000-FFFF-FFFF00000000}"/>
  </bookViews>
  <sheets>
    <sheet name="README" sheetId="1" r:id="rId1"/>
    <sheet name="值集数据" sheetId="2" r:id="rId2"/>
  </sheets>
  <definedNames>
    <definedName name="_xlnm._FilterDatabase" localSheetId="0">README!$D$1:$D$4</definedName>
    <definedName name="_xlnm._FilterDatabase" localSheetId="1" hidden="1">值集数据!$A$7:$X$70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w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ewq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</workbook>
</file>

<file path=xl/calcChain.xml><?xml version="1.0" encoding="utf-8"?>
<calcChain xmlns="http://schemas.openxmlformats.org/spreadsheetml/2006/main">
  <c r="F155" i="2" l="1"/>
  <c r="X8" i="2" l="1"/>
  <c r="H367" i="2"/>
  <c r="F367" i="2"/>
  <c r="H366" i="2"/>
  <c r="F366" i="2"/>
  <c r="H365" i="2"/>
  <c r="F365" i="2"/>
  <c r="H364" i="2"/>
  <c r="F364" i="2"/>
  <c r="H363" i="2"/>
  <c r="F363" i="2"/>
  <c r="H362" i="2"/>
  <c r="F362" i="2"/>
  <c r="H361" i="2"/>
  <c r="F361" i="2"/>
  <c r="H360" i="2"/>
  <c r="F360" i="2"/>
  <c r="H359" i="2"/>
  <c r="F359" i="2"/>
  <c r="H358" i="2"/>
  <c r="F358" i="2"/>
  <c r="H357" i="2"/>
  <c r="F357" i="2"/>
  <c r="H356" i="2"/>
  <c r="F356" i="2"/>
  <c r="H355" i="2"/>
  <c r="F355" i="2"/>
  <c r="H354" i="2"/>
  <c r="F354" i="2"/>
  <c r="H353" i="2"/>
  <c r="F353" i="2"/>
  <c r="H352" i="2"/>
  <c r="F352" i="2"/>
  <c r="H351" i="2"/>
  <c r="F351" i="2"/>
  <c r="H350" i="2"/>
  <c r="F350" i="2"/>
  <c r="H349" i="2"/>
  <c r="F349" i="2"/>
  <c r="H348" i="2"/>
  <c r="F348" i="2"/>
  <c r="H347" i="2"/>
  <c r="F347" i="2"/>
  <c r="H346" i="2"/>
  <c r="F346" i="2"/>
  <c r="H345" i="2"/>
  <c r="F345" i="2"/>
  <c r="H344" i="2"/>
  <c r="F344" i="2"/>
  <c r="H343" i="2"/>
  <c r="F343" i="2"/>
  <c r="H342" i="2"/>
  <c r="F342" i="2"/>
  <c r="H341" i="2"/>
  <c r="F341" i="2"/>
  <c r="H340" i="2"/>
  <c r="F340" i="2"/>
  <c r="H339" i="2"/>
  <c r="F339" i="2"/>
  <c r="H338" i="2"/>
  <c r="F338" i="2"/>
  <c r="H337" i="2"/>
  <c r="F337" i="2"/>
  <c r="H336" i="2"/>
  <c r="F336" i="2"/>
  <c r="H335" i="2"/>
  <c r="F335" i="2"/>
  <c r="H334" i="2"/>
  <c r="F334" i="2"/>
  <c r="H333" i="2"/>
  <c r="F333" i="2"/>
  <c r="H332" i="2"/>
  <c r="F332" i="2"/>
  <c r="H331" i="2"/>
  <c r="F331" i="2"/>
  <c r="H330" i="2"/>
  <c r="F330" i="2"/>
  <c r="H329" i="2"/>
  <c r="F329" i="2"/>
  <c r="H328" i="2"/>
  <c r="F328" i="2"/>
  <c r="H327" i="2"/>
  <c r="F327" i="2"/>
  <c r="H326" i="2"/>
  <c r="F326" i="2"/>
  <c r="H325" i="2"/>
  <c r="F325" i="2"/>
  <c r="H324" i="2"/>
  <c r="F324" i="2"/>
  <c r="H323" i="2"/>
  <c r="F323" i="2"/>
  <c r="H322" i="2"/>
  <c r="F322" i="2"/>
  <c r="H321" i="2"/>
  <c r="F321" i="2"/>
  <c r="H320" i="2"/>
  <c r="F320" i="2"/>
  <c r="H319" i="2"/>
  <c r="F319" i="2"/>
  <c r="H318" i="2"/>
  <c r="F318" i="2"/>
  <c r="H317" i="2"/>
  <c r="F317" i="2"/>
  <c r="H316" i="2"/>
  <c r="F316" i="2"/>
  <c r="H315" i="2"/>
  <c r="F315" i="2"/>
  <c r="H314" i="2"/>
  <c r="F314" i="2"/>
  <c r="H313" i="2"/>
  <c r="F313" i="2"/>
  <c r="H312" i="2"/>
  <c r="F312" i="2"/>
  <c r="H311" i="2"/>
  <c r="F311" i="2"/>
  <c r="H310" i="2"/>
  <c r="F310" i="2"/>
  <c r="H309" i="2"/>
  <c r="F309" i="2"/>
  <c r="H308" i="2"/>
  <c r="F308" i="2"/>
  <c r="H307" i="2"/>
  <c r="F307" i="2"/>
  <c r="H306" i="2"/>
  <c r="F306" i="2"/>
  <c r="H305" i="2"/>
  <c r="F305" i="2"/>
  <c r="H304" i="2"/>
  <c r="F304" i="2"/>
  <c r="H303" i="2"/>
  <c r="F303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</calcChain>
</file>

<file path=xl/sharedStrings.xml><?xml version="1.0" encoding="utf-8"?>
<sst xmlns="http://schemas.openxmlformats.org/spreadsheetml/2006/main" count="3313" uniqueCount="818">
  <si>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family val="4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</si>
  <si>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family val="4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family val="4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</si>
  <si>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family val="4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family val="4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</si>
  <si>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family val="4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family val="4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</si>
  <si>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family val="4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</si>
  <si>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family val="4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</si>
  <si>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family val="4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</si>
  <si>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family val="4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family val="4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</si>
  <si>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</si>
  <si>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</si>
  <si>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</si>
  <si>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</si>
  <si>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</si>
  <si>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</si>
  <si>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family val="4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family val="4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</si>
  <si>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family val="4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family val="4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family val="4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family val="4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</si>
  <si>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family val="4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</si>
  <si>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</si>
  <si>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family val="4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family val="4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</si>
  <si>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family val="4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family val="4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family val="4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</si>
  <si>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</si>
  <si>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family val="4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family val="4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family val="4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family val="4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family val="4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</si>
  <si>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family val="4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family val="4"/>
        <charset val="134"/>
      </rPr>
      <t>:
yyyy-MM-dd HH:mm:ss
yyyy-MM-dd</t>
    </r>
  </si>
  <si>
    <t>ROLE_NAME:zh_CN</t>
  </si>
  <si>
    <r>
      <rPr>
        <sz val="12"/>
        <color rgb="FF000000"/>
        <rFont val="DengXian"/>
        <family val="4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</si>
  <si>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family val="4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</si>
  <si>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family val="4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family val="4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</si>
  <si>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</si>
  <si>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</si>
  <si>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</si>
  <si>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family val="4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family val="4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</si>
  <si>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</si>
  <si>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family val="4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</si>
  <si>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</si>
  <si>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family val="4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</si>
  <si>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</si>
  <si>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family val="4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family val="4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family val="4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family val="4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</si>
  <si>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</si>
  <si>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family val="4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family val="4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family val="4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family val="4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</si>
  <si>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</si>
  <si>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family val="4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family val="4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family val="4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family val="4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family val="4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family val="4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family val="4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family val="4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family val="4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family val="4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family val="4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</si>
  <si>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</si>
  <si>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</si>
  <si>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family val="4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family val="4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</si>
  <si>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</si>
  <si>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</si>
  <si>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</si>
  <si>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</si>
  <si>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</si>
  <si>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</si>
  <si>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2020-04-21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</si>
  <si>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</si>
  <si>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</si>
  <si>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</si>
  <si>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</si>
  <si>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</si>
  <si>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</si>
  <si>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</si>
  <si>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</si>
  <si>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</si>
  <si>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</si>
  <si>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</si>
  <si>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</si>
  <si>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</si>
  <si>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</si>
  <si>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</si>
  <si>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</si>
  <si>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</si>
  <si>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</si>
  <si>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</si>
  <si>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</si>
  <si>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</si>
  <si>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URL</t>
  </si>
  <si>
    <t>0</t>
  </si>
  <si>
    <t>1</t>
  </si>
  <si>
    <t>IDP</t>
  </si>
  <si>
    <t>SQL</t>
  </si>
  <si>
    <t/>
  </si>
  <si>
    <t>hpfm</t>
  </si>
  <si>
    <t>description</t>
  </si>
  <si>
    <t>hpfm_lov-41</t>
  </si>
  <si>
    <t>HITF.APPLICATION.CLIENT</t>
  </si>
  <si>
    <t>应用配置选择客户端</t>
  </si>
  <si>
    <t>接口平台应用配置选择oauth客户端</t>
  </si>
  <si>
    <t>SELECT
	oc.id oauth_client_id,
	oc.name client_name 
FROM
	oauth_client oc
WHERE 1 = 1
&lt;if test="tenantId != null and tenantId != ''"&gt;
        AND oc.organization_id IN ( #{tenantId}, 0 )
&lt;/if&gt;
&lt;if test="clientName!= null and clientName!= ''"&gt;
       &lt;bind name="clientNameLike" value="'%' + clientName+ '%'"/&gt;
        AND oc.name LIKE #{clientNameLike}
&lt;/if&gt;</t>
  </si>
  <si>
    <t>hpfm_lov-42</t>
  </si>
  <si>
    <t>HITF.APPLICATION.SERVER_UNUSE</t>
  </si>
  <si>
    <t>hitf</t>
  </si>
  <si>
    <t>应用配置获取未绑定的服务</t>
  </si>
  <si>
    <t>获取未绑定的服务列表</t>
  </si>
  <si>
    <t>/v1/{organizationId}/interface-servers/{applicationId}/servers/not-assign</t>
  </si>
  <si>
    <t>value</t>
  </si>
  <si>
    <t>meaning</t>
  </si>
  <si>
    <t>hpfm_lov-43</t>
  </si>
  <si>
    <t>HITF.AUTH_TYPE</t>
  </si>
  <si>
    <t>认证模式</t>
  </si>
  <si>
    <t>hpfm_lov-44</t>
  </si>
  <si>
    <t>HITF.GRANT_TYPE</t>
  </si>
  <si>
    <t>授权模式</t>
  </si>
  <si>
    <t>hpfm_lov-45</t>
  </si>
  <si>
    <t>HITF.INTERFACE_STATUS</t>
  </si>
  <si>
    <t>接口状态</t>
  </si>
  <si>
    <t>hpfm_lov-46</t>
  </si>
  <si>
    <t>HITF.REQUEST_HEADER</t>
  </si>
  <si>
    <t>接口ContentType</t>
  </si>
  <si>
    <t>hpfm_lov-47</t>
  </si>
  <si>
    <t>HITF.REQUEST_METHOD</t>
  </si>
  <si>
    <t>请求方式</t>
  </si>
  <si>
    <t>hpfm_lov-48</t>
  </si>
  <si>
    <t>HITF.SERVICE_TYPE</t>
  </si>
  <si>
    <t>服务类型</t>
  </si>
  <si>
    <t>hpfm_lov-49</t>
  </si>
  <si>
    <t>HITF.SOAP_VERSION</t>
  </si>
  <si>
    <t>SOAP版本</t>
  </si>
  <si>
    <t>hpfm_lov-50</t>
  </si>
  <si>
    <t>HITF.SOAP_WSS_PASSWORD_TYPE</t>
  </si>
  <si>
    <t>SOAP加密类型</t>
  </si>
  <si>
    <t>tenantName</t>
  </si>
  <si>
    <t>hpfm_lov-137</t>
  </si>
  <si>
    <t>HITF.MIME_TYPE</t>
  </si>
  <si>
    <t>MIME类型</t>
  </si>
  <si>
    <t>hpfm_lov-138</t>
  </si>
  <si>
    <t>HITF.PARAM_TYPE</t>
  </si>
  <si>
    <t>参数类型</t>
  </si>
  <si>
    <t>hpfm_lov-139</t>
  </si>
  <si>
    <t>HITF.PARAM_VALUE_TYPE</t>
  </si>
  <si>
    <t>参数值类型</t>
  </si>
  <si>
    <t>hpfm_lov-140</t>
  </si>
  <si>
    <t>HITF.HTTP_ACTION_TYPE</t>
  </si>
  <si>
    <t>HTTP操作类型</t>
  </si>
  <si>
    <t>hpfm_lov-141</t>
  </si>
  <si>
    <t>HITF.HTTP_HEADER</t>
  </si>
  <si>
    <t>请求头参数</t>
  </si>
  <si>
    <t>hpfm_lov-143</t>
  </si>
  <si>
    <t>HITF.CONTENT_TYPE</t>
  </si>
  <si>
    <t>请求内容类型</t>
  </si>
  <si>
    <t>hpfm_lov-144</t>
  </si>
  <si>
    <t>HITF.RAW_MIME_TYPE</t>
  </si>
  <si>
    <t>raw类型的可选类型</t>
  </si>
  <si>
    <t>hpfm_lov-147</t>
  </si>
  <si>
    <t>HITF.ROOT_TYPE</t>
  </si>
  <si>
    <t>根节点类型</t>
  </si>
  <si>
    <t>hpfm_lov-148</t>
  </si>
  <si>
    <t>HITF.STATISTICS_LEVEL</t>
  </si>
  <si>
    <t>调用统计维度</t>
  </si>
  <si>
    <t>hpfm_lov-149</t>
  </si>
  <si>
    <t>HITF.STATISTICS_PERIOD</t>
  </si>
  <si>
    <t>宽免周期</t>
  </si>
  <si>
    <t>hpfm_lov-150</t>
  </si>
  <si>
    <t>HITF.EXCEED_THRESHOLD_ACTION</t>
  </si>
  <si>
    <t>超阈值措施</t>
  </si>
  <si>
    <t>hpfm_lov-151</t>
  </si>
  <si>
    <t>HITF.USE_CASE</t>
  </si>
  <si>
    <t>接口平台测试用例</t>
  </si>
  <si>
    <t>/v1/{organizationId}/{interfaceId}/usecases?usecaseType=HEALTH-CHECK</t>
  </si>
  <si>
    <t>interfaceUsecaseId</t>
  </si>
  <si>
    <t>usecaseName</t>
  </si>
  <si>
    <t>hpfm_lov-152</t>
  </si>
  <si>
    <t>HITF.INVOKE_TYPE</t>
  </si>
  <si>
    <t>接口请求类型</t>
  </si>
  <si>
    <t>hpfm_lov-153</t>
  </si>
  <si>
    <t>HITF.CODE_TYPE</t>
  </si>
  <si>
    <t>预览代码类型</t>
  </si>
  <si>
    <t>hpfm_lov-155</t>
  </si>
  <si>
    <t>HITF.PARAM_VALUE</t>
  </si>
  <si>
    <t>参数可选列表</t>
  </si>
  <si>
    <t>select
hdpv.param_value
FROM hitf_document_param_value hdpv
where 
hdpv.tenant_id = #{tenantId}
and
hdpv.interface_id = #{interfaceId}
and
hdpv.document_id = #{documentId}
and
hdpv.param_id = #{paramId}</t>
  </si>
  <si>
    <t>paramValue</t>
  </si>
  <si>
    <t>hpfm_lov-156</t>
  </si>
  <si>
    <t>HITF.AUTH_LEVEL</t>
  </si>
  <si>
    <t>认证层级</t>
  </si>
  <si>
    <t>hpfm_lov-157</t>
  </si>
  <si>
    <t>HITF.USECASE_TYPE</t>
  </si>
  <si>
    <t>测试用例类型</t>
  </si>
  <si>
    <t>hpfm_lov-159</t>
  </si>
  <si>
    <t>HITF.ROLE.AUTHORIZABLE</t>
  </si>
  <si>
    <t>角色可授权权限集</t>
  </si>
  <si>
    <t>/v1/{organizationId}/client-roles/{roleId}/authorizable</t>
  </si>
  <si>
    <t>hpfm_lov-162</t>
  </si>
  <si>
    <t>HITF.DOCUMENT_PARAM</t>
  </si>
  <si>
    <t>文档参数</t>
  </si>
  <si>
    <t>select
param_id as parameter_id,
param_name,
default_value,
default_value_longtext
from 
hitf_document_param
where
1=1
and document_id = #{documentId}
and interface_id = #{interfaceId}
&lt;if test="tenantId!=null"&gt;
and tenant_id = #{tenantId}
&lt;/if&gt;
&lt;if test="paramName!=null and paramName!=''"&gt;
&lt;bind name="paramNameLike" value="'%'+paramName+'%'"&gt;&lt;/bind&gt;
and param_name like #{paramNameLike}
&lt;/if&gt;</t>
  </si>
  <si>
    <t>parameterId</t>
  </si>
  <si>
    <t>paramName</t>
  </si>
  <si>
    <t>字段类型</t>
  </si>
  <si>
    <t>hpfm_lov-181</t>
  </si>
  <si>
    <t>HITF.SITE.USE_CASE</t>
  </si>
  <si>
    <t>测试用例(平台级调用)</t>
  </si>
  <si>
    <t>/v1/{interfaceId}/usecases?usecaseType=HEALTH-CHECK</t>
  </si>
  <si>
    <t>hpfm_lov-189</t>
  </si>
  <si>
    <t>HITF.SERVICE_CATEGORY</t>
  </si>
  <si>
    <t>服务类别</t>
  </si>
  <si>
    <t>hpfm_lov-190</t>
  </si>
  <si>
    <t>HITF.PASSWORD_ENCODE_TYPE</t>
  </si>
  <si>
    <t>密码加密类型</t>
  </si>
  <si>
    <t>hpfm_lov-191</t>
  </si>
  <si>
    <t>HITF.APP_MAJOR_CATEGORY</t>
  </si>
  <si>
    <t>应用大类</t>
  </si>
  <si>
    <t>hpfm_lov-192</t>
  </si>
  <si>
    <t>HITF.APP_MINOR_CATEGORY</t>
  </si>
  <si>
    <t>应用小类</t>
  </si>
  <si>
    <t>hpfm_lov-194</t>
  </si>
  <si>
    <t>HITF.COMPOSE_POLICY</t>
  </si>
  <si>
    <t>组合策略</t>
  </si>
  <si>
    <t>hpfm_lov-195</t>
  </si>
  <si>
    <t>HITF.COMPOSE_ENTRY_INTERFACE</t>
  </si>
  <si>
    <t>组合接口</t>
  </si>
  <si>
    <t>select 
hi.interface_id,
hi.interface_code,
hi.interface_name,
his.server_code,
his.server_name,
ht.tenant_name
from 
hitf_interface hi join hitf_interface_server his on hi.interface_server_id = his.interface_server_id
left join hpfm_tenant ht on hi.tenant_id = ht.tenant_id
where 
his.service_category = 'COMPOSITE'
and his.enabled_flag = 1
&lt;if test="interfaceCode!=null and interfaceCode!=''"&gt;
&lt;bind name="interfaceCodeLike" value="'%'+interfaceCode+'%'"&gt;&lt;/bind&gt;
and hi.interface_code like #{interfaceCodeLike}
&lt;/if&gt;
&lt;if test="interfaceName!=null and interfaceName!=''"&gt;
&lt;bind name="interfaceNameLike" value="'%'+interfaceName+'%'"&gt;&lt;/bind&gt;
and hi.interface_name like #{interfaceNameLike}
&lt;/if&gt;</t>
  </si>
  <si>
    <t>interfaceId</t>
  </si>
  <si>
    <t>interfaceName</t>
  </si>
  <si>
    <t>hpfm_lov-196</t>
  </si>
  <si>
    <t>HITF.COMPOSE_INST_INTERFACE</t>
  </si>
  <si>
    <t>实例接口</t>
  </si>
  <si>
    <t>select
hi.interface_id as inst_interface_id, 
hi.interface_code,
hi.interface_name,
his.server_code,
his.server_name,
ht.tenant_name
from 
hitf_interface hi join hitf_interface_server his on hi.interface_server_id = his.interface_server_id
left join hpfm_tenant ht on hi.tenant_id = ht.tenant_id
where 
his.service_category != 'COMPOSITE'
and his.enabled_flag = 1 
&lt;if test="interfaceCode!=null and interfaceCode!=''"&gt;
&lt;bind name="interfaceCodeLike" value="'%'+interfaceCode+'%'"&gt;&lt;/bind&gt;
and hi.interface_code like #{interfaceCodeLike}
&lt;/if&gt;
&lt;if test="interfaceName!=null and interfaceName!=''"&gt;
&lt;bind name="interfaceNameLike" value="'%'+interfaceName+'%'"&gt;&lt;/bind&gt;
and hi.interface_name like #{interfaceNameLike}
&lt;/if&gt;</t>
  </si>
  <si>
    <t>instInterfaceId</t>
  </si>
  <si>
    <t>interfaceCode</t>
  </si>
  <si>
    <t>hpfm_lov-197</t>
  </si>
  <si>
    <t>HITF.PARAMETER_MAPPING</t>
  </si>
  <si>
    <t>参数映射</t>
  </si>
  <si>
    <t>SELECT
h.param_id,
h.param_name,
h.param_type,
h.action_type
from
hitf_document_param h
where 1=1
&lt;choose&gt;
&lt;when test="paramType!=null and paramType=='BODY'"&gt;
and h.param_type = 'BODY'
&lt;/when&gt;
&lt;otherwise&gt;
and h.param_type!='BODY'
&lt;/otherwise&gt;
&lt;/choose&gt;
&lt;if test="actionType!=null and actionType!=''"&gt;
and h.action_type = #{actionType}
&lt;/if&gt;
&lt;if test="instInterfaceId!=null"&gt;
and h.interface_id = #{instInterfaceId}
&lt;/if&gt;</t>
  </si>
  <si>
    <t>paramId</t>
  </si>
  <si>
    <t>hpfm_lov-232</t>
  </si>
  <si>
    <t>HITF.HTTP_CONFIG_PROPERTY</t>
  </si>
  <si>
    <t>HTTP配置</t>
  </si>
  <si>
    <t>hpfm_lov-234</t>
  </si>
  <si>
    <t>HITF.IMPORT_STATUS</t>
  </si>
  <si>
    <t>导入历史状态</t>
  </si>
  <si>
    <t>hpfm_lov-246</t>
  </si>
  <si>
    <t>HITF.COMPOSE_SERVER</t>
  </si>
  <si>
    <t>hivc</t>
  </si>
  <si>
    <t>组合服务</t>
  </si>
  <si>
    <t>&lt;bind name="organizationId" value="@io.choerodon.core.oauth.DetailsHelper@getUserDetails().getOrganizationId()"/&gt;
select 
his.interface_server_id,
his.server_code,
his.server_name
from 
hitf_interface_server his 
where 
his.service_category = 'COMPOSITE'
and his.tenant_id = #{organizationId}
and his.enabled_flag = 1
&lt;if test="serverCode!=null and serverCode!=''"&gt;
&lt;bind name="serverCodeLike" value="'%'+serverCode+'%'"&gt;&lt;/bind&gt;
and his.server_code like #{serverCodeLike}
&lt;/if&gt;
&lt;if test="serverName!=null and serverName!=''"&gt;
&lt;bind name="serverNameLike" value="'%'+serverName+'%'"&gt;&lt;/bind&gt;
and his.server_name like #{serverNameLike}
&lt;/if&gt;</t>
  </si>
  <si>
    <t>hpfm_lov-247</t>
  </si>
  <si>
    <t>HITF.COMPOSE_INTERFACE</t>
  </si>
  <si>
    <t>&lt;bind name="organizationId" value="@io.choerodon.core.oauth.DetailsHelper@getUserDetails().getOrganizationId()"/&gt;
select 
hi.interface_id,
hi.interface_code,
hi.interface_name
from 
hitf_interface hi 
join hitf_interface_server his on hi.interface_server_id = his.interface_server_id
where 
his.server_code = #{serverCode}
and hi.tenant_id = #{organizationId}
&lt;if test="interfaceCode!=null and interfaceCode!=''"&gt;
&lt;bind name="interfaceCodeLike" value="'%'+interfaceCode+'%'"&gt;&lt;/bind&gt;
and hi.interface_code like #{interfaceCodeLike}
&lt;/if&gt;
&lt;if test="interfaceName!=null and interfaceName!=''"&gt;
&lt;bind name="interfaceNameLike" value="'%'+interfaceName+'%'"&gt;&lt;/bind&gt;
and hi.interface_name like #{interfaceNameLike}
&lt;/if&gt;</t>
  </si>
  <si>
    <t>hpfm_lov-265</t>
  </si>
  <si>
    <t>HITF.SETTLEMENT_PERIOD</t>
  </si>
  <si>
    <t>结算周期</t>
  </si>
  <si>
    <t>hpfm_lov-266</t>
  </si>
  <si>
    <t>HITF.CHARGE_SET_STATUS</t>
  </si>
  <si>
    <t>服务及接口计费设置状态</t>
  </si>
  <si>
    <t>hpfm_lov-267</t>
  </si>
  <si>
    <t>HITF.CHARGE_GROUP_STATUS</t>
  </si>
  <si>
    <t>组合计费设置状态</t>
  </si>
  <si>
    <t>hpfm_lov-268</t>
  </si>
  <si>
    <t>HITF.GROUP_SERVER_TYPE</t>
  </si>
  <si>
    <t>组合计费服务类型</t>
  </si>
  <si>
    <t>hpfm_lov-269</t>
  </si>
  <si>
    <t>HITF.PURCHASE_TYPE</t>
  </si>
  <si>
    <t>计费用户购买类型</t>
  </si>
  <si>
    <t>hpfm_lov-270</t>
  </si>
  <si>
    <t>HITF.AVAILABLE_STATUS</t>
  </si>
  <si>
    <t>服务可用状态</t>
  </si>
  <si>
    <t>hpfm_lov-271</t>
  </si>
  <si>
    <t>HITF.CHARGE_INTERFACE</t>
  </si>
  <si>
    <t>接口计费可用接口</t>
  </si>
  <si>
    <t>接口平台接口</t>
  </si>
  <si>
    <t>select 
	hi.interface_id,
	hi.interface_code,
	hi.interface_name
from 
	hitf_interface hi 
	join hitf_interface_server his on hi.interface_server_id = his.interface_server_id
where 
	his.server_code = #{serverCode}
	AND hi.interface_id NOT IN (
		SELECT hcsh.interface_id 
		FROM hitf_charge_set_header hcsh 
		join hitf_interface_server hisl on hcsh.interface_server_id = hisl.interface_server_id
		WHERE hcsh.type_code = 'INTERFACE' 
		and hisl.server_code = his.server_code
		)
      AND his.interface_server_id NOT IN (
		SELECT hcgl.interface_id 
		FROM hitf_charge_group_line hcgl
		join hitf_interface_server hisl on hcgl.interface_server_id = hisl.interface_server_id
		WHERE hcgl.type_code = 'INTERFACE' 
		and hisl.server_code = his.server_code
		)
	&lt;if test="interfaceCode!=null and interfaceCode!=''"&gt;
		&lt;bind name="interfaceCodeLike" value="'%'+interfaceCode+'%'"&gt;&lt;/bind&gt;
		and hi.interface_code like #{interfaceCodeLike}
	&lt;/if&gt;
	&lt;if test="interfaceName!=null and interfaceName!=''"&gt;
		&lt;bind name="interfaceNameLike" value="'%'+interfaceName+'%'"&gt;&lt;/bind&gt;
		and hi.interface_name like #{interfaceNameLike}
	&lt;/if&gt;</t>
  </si>
  <si>
    <t>hpfm_lov-276</t>
  </si>
  <si>
    <t>HITF.CHARGE_SERVER</t>
  </si>
  <si>
    <t>接口计费可用服务</t>
  </si>
  <si>
    <t>SELECT
	his.interface_server_id,
	his.server_code,
	his.server_name 
FROM
	hitf_interface_server his 
WHERE
	his.enabled_flag = 1 
	AND his.interface_server_id NOT IN (
		SELECT hcsh.interface_server_id 
		FROM hitf_charge_set_header hcsh 
		WHERE hcsh.type_code = 'SERVER' 
		)
        AND his.interface_server_id NOT IN (
		SELECT hcgl.interface_server_id 
		FROM hitf_charge_group_line hcgl
		WHERE hcgl.type_code = 'SERVER' 
		)
        AND EXISTS ( 
			SELECT 1 
			FROM hitf_interface hi 
			WHERE hi.interface_server_id = his.interface_server_id 
			AND hi.enabled_flag = 1 
			)
	&lt;if test="serverCode!=null and serverCode!=''"&gt;
		&lt;bind name="serverCodeLike" value="'%'+serverCode+'%'"&gt;&lt;/bind&gt;
		and his.server_code like #{serverCodeLike}
	&lt;/if&gt;
	&lt;if test="serverName!=null and serverName!=''"&gt;
		&lt;bind name="serverNameLike" value="'%'+serverName+'%'"&gt;&lt;/bind&gt;
		and his.server_name like #{serverNameLike}
	&lt;/if&gt;</t>
  </si>
  <si>
    <t>hpfm_lov-282</t>
  </si>
  <si>
    <t>HITF.SVC.EXPRESSION_TYPE</t>
  </si>
  <si>
    <t>表达式类型</t>
  </si>
  <si>
    <t>hpfm_lov-283</t>
  </si>
  <si>
    <t>HITF.SVC.COL_TYPE</t>
  </si>
  <si>
    <t>属性字段类型</t>
  </si>
  <si>
    <t>hpfm_lov-284</t>
  </si>
  <si>
    <t>HITF.SVC.MODEL_OPERATOR</t>
  </si>
  <si>
    <t>操作符</t>
  </si>
  <si>
    <t>hpfm_lov-285</t>
  </si>
  <si>
    <t>HITF.SVC.PRIVACY_LEVEL</t>
  </si>
  <si>
    <t>隐私级别</t>
  </si>
  <si>
    <t>hpfm_lov-286</t>
  </si>
  <si>
    <t>HITF.SVC.PARAM_TYPE</t>
  </si>
  <si>
    <t>Parameter type</t>
  </si>
  <si>
    <t>hpfm_lov-287</t>
  </si>
  <si>
    <t>HITF.PROTOCOL</t>
  </si>
  <si>
    <t>协议</t>
  </si>
  <si>
    <t>protocol</t>
  </si>
  <si>
    <t>hpfm_lov-292</t>
  </si>
  <si>
    <t>HITF.DATASOURCE</t>
  </si>
  <si>
    <t>数据源选择</t>
  </si>
  <si>
    <t>接口平台数据源选择</t>
  </si>
  <si>
    <t>select datasource_id,
       ds_purpose_code,
       db_type,
       datasource_code,
       tenant_id,
       description
from hpfm_datasource
where enabled_flag = 1
  and ds_purpose_code = 'DITF'
&lt;if test="datasourceCode!=null and datasourceCode!=''"&gt;
    &lt;bind name="datasourceCodeLike" value="'%'+datasourceCode+'%'"&gt;&lt;/bind&gt;
    and datasource_code like #{datasourceCodeLike}
&lt;/if&gt;
&lt;if test="description!=null and description!=''"&gt;
    &lt;bind name="descriptionLike" value="'%'+description+'%'"&gt;&lt;/bind&gt;
    and description like #{descriptionLike}
&lt;/if&gt;</t>
  </si>
  <si>
    <t>hpfm_lov-293</t>
  </si>
  <si>
    <t>HITF.INTERFACE_LOG.CLEAR_TYPE</t>
  </si>
  <si>
    <t>接口调用信息清理类型</t>
  </si>
  <si>
    <t>hpfm_lov-294</t>
  </si>
  <si>
    <t>HITF.CONSUMER_TYPE</t>
  </si>
  <si>
    <t>队列消费者类型</t>
  </si>
  <si>
    <t>hpfm_lov-295</t>
  </si>
  <si>
    <t>HITF.STRCTURE.LINE.FILED_TYPE</t>
  </si>
  <si>
    <t>Field Type</t>
  </si>
  <si>
    <t>hpfm_lov-296</t>
  </si>
  <si>
    <t>HITF.STRUCTURE_CATEGORY</t>
  </si>
  <si>
    <t>结构分类</t>
  </si>
  <si>
    <t>hpfm_lov-297</t>
  </si>
  <si>
    <t>HITF.STRCTURE.LINE.BIZ_USAGE</t>
  </si>
  <si>
    <t>业务用途</t>
  </si>
  <si>
    <t>test</t>
  </si>
  <si>
    <t>test12345</t>
  </si>
  <si>
    <t>hpfm_lov-298</t>
  </si>
  <si>
    <t>HITF.STRCTURE.COMPOSITION</t>
  </si>
  <si>
    <t>构建方式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</si>
  <si>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</si>
  <si>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</si>
  <si>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</si>
  <si>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</si>
  <si>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</si>
  <si>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</si>
  <si>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</si>
  <si>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</si>
  <si>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</si>
  <si>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</si>
  <si>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</si>
  <si>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</si>
  <si>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</si>
  <si>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</si>
  <si>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2</t>
  </si>
  <si>
    <t>10</t>
  </si>
  <si>
    <t>20</t>
  </si>
  <si>
    <t>30</t>
  </si>
  <si>
    <t>40</t>
  </si>
  <si>
    <t>50</t>
  </si>
  <si>
    <t>TENANT</t>
  </si>
  <si>
    <t>租户</t>
  </si>
  <si>
    <t>3</t>
  </si>
  <si>
    <t>4</t>
  </si>
  <si>
    <t>租户层</t>
  </si>
  <si>
    <t>时间</t>
  </si>
  <si>
    <t>60</t>
  </si>
  <si>
    <t>70</t>
  </si>
  <si>
    <t>80</t>
  </si>
  <si>
    <t>90</t>
  </si>
  <si>
    <t>100</t>
  </si>
  <si>
    <t>120</t>
  </si>
  <si>
    <t>200</t>
  </si>
  <si>
    <t>250</t>
  </si>
  <si>
    <t>280</t>
  </si>
  <si>
    <t>NONE</t>
  </si>
  <si>
    <t>BASIC</t>
  </si>
  <si>
    <t>OAUTH2</t>
  </si>
  <si>
    <t>CLIENT</t>
  </si>
  <si>
    <t>PASSWORD</t>
  </si>
  <si>
    <t>ENABLED</t>
  </si>
  <si>
    <t>正常</t>
  </si>
  <si>
    <t>DISABLED</t>
  </si>
  <si>
    <t>失效</t>
  </si>
  <si>
    <t>DISABLED_INPROGRESS</t>
  </si>
  <si>
    <t>待失效(窗口期:30天)</t>
  </si>
  <si>
    <t>application/json</t>
  </si>
  <si>
    <t>application/xml</t>
  </si>
  <si>
    <t>GET</t>
  </si>
  <si>
    <t>POST</t>
  </si>
  <si>
    <t>PUT</t>
  </si>
  <si>
    <t>DELETE</t>
  </si>
  <si>
    <t>REST</t>
  </si>
  <si>
    <t>SOAP</t>
  </si>
  <si>
    <t>SOAP11</t>
  </si>
  <si>
    <t>SOAP12</t>
  </si>
  <si>
    <t>DATE</t>
  </si>
  <si>
    <t>DAY</t>
  </si>
  <si>
    <t>每天</t>
  </si>
  <si>
    <t>MONTH</t>
  </si>
  <si>
    <t>每月</t>
  </si>
  <si>
    <t>YEAR</t>
  </si>
  <si>
    <t>每年</t>
  </si>
  <si>
    <t>C</t>
  </si>
  <si>
    <t>5</t>
  </si>
  <si>
    <t>6</t>
  </si>
  <si>
    <t>7</t>
  </si>
  <si>
    <t>400</t>
  </si>
  <si>
    <t>500</t>
  </si>
  <si>
    <t>ROLE</t>
  </si>
  <si>
    <t>GT</t>
  </si>
  <si>
    <t>form-data</t>
  </si>
  <si>
    <t>multipart/form-data</t>
  </si>
  <si>
    <t>x-www-form-urlencoded</t>
  </si>
  <si>
    <t>application/x-www-form-urlencoded</t>
  </si>
  <si>
    <t>xml</t>
  </si>
  <si>
    <t>text/xml</t>
  </si>
  <si>
    <t>json</t>
  </si>
  <si>
    <t>HEADER</t>
  </si>
  <si>
    <t>头部参数</t>
  </si>
  <si>
    <t>查询参数</t>
  </si>
  <si>
    <t>PATH</t>
  </si>
  <si>
    <t>路径参数</t>
  </si>
  <si>
    <t>BODY</t>
  </si>
  <si>
    <t>请求体/响应体</t>
  </si>
  <si>
    <t>STRING</t>
  </si>
  <si>
    <t>字符串</t>
  </si>
  <si>
    <t>ARRAY</t>
  </si>
  <si>
    <t>数组</t>
  </si>
  <si>
    <t>OBJECT</t>
  </si>
  <si>
    <t>对象</t>
  </si>
  <si>
    <t>REQ</t>
  </si>
  <si>
    <t>请求</t>
  </si>
  <si>
    <t>RESP</t>
  </si>
  <si>
    <t>响应</t>
  </si>
  <si>
    <t>Authorization</t>
  </si>
  <si>
    <t>Cache-Control</t>
  </si>
  <si>
    <t>Origin</t>
  </si>
  <si>
    <t>Pragma</t>
  </si>
  <si>
    <t>Referer</t>
  </si>
  <si>
    <t>User-Agent</t>
  </si>
  <si>
    <t>Connection</t>
  </si>
  <si>
    <t>Content-Type</t>
  </si>
  <si>
    <t>8</t>
  </si>
  <si>
    <t>Date</t>
  </si>
  <si>
    <t>9</t>
  </si>
  <si>
    <t>Server</t>
  </si>
  <si>
    <t>Transfer-Encoding</t>
  </si>
  <si>
    <t>11</t>
  </si>
  <si>
    <t>Vary</t>
  </si>
  <si>
    <t>12</t>
  </si>
  <si>
    <t>application/x</t>
  </si>
  <si>
    <t>image/jpeg</t>
  </si>
  <si>
    <t>image/png</t>
  </si>
  <si>
    <t>text/asp</t>
  </si>
  <si>
    <t>text/css</t>
  </si>
  <si>
    <t>text/html</t>
  </si>
  <si>
    <t>text/html; charset=UTF-8</t>
  </si>
  <si>
    <t>text/plain</t>
  </si>
  <si>
    <t>application/javascript</t>
  </si>
  <si>
    <t>text</t>
  </si>
  <si>
    <t>raw</t>
  </si>
  <si>
    <t>object</t>
  </si>
  <si>
    <t>array</t>
  </si>
  <si>
    <t>客户端</t>
  </si>
  <si>
    <t>角色</t>
  </si>
  <si>
    <t>SECOND</t>
  </si>
  <si>
    <t>每秒</t>
  </si>
  <si>
    <t>MINUTE</t>
  </si>
  <si>
    <t>每分钟</t>
  </si>
  <si>
    <t>HOUR</t>
  </si>
  <si>
    <t>每小时</t>
  </si>
  <si>
    <t>FAST-FAILED</t>
  </si>
  <si>
    <t>快速失败</t>
  </si>
  <si>
    <t>GRACE-PERIOD</t>
  </si>
  <si>
    <t>宽免期</t>
  </si>
  <si>
    <t>NORMAL</t>
  </si>
  <si>
    <t>正常调用</t>
  </si>
  <si>
    <t>HEALTH-CHECK</t>
  </si>
  <si>
    <t>健康检查</t>
  </si>
  <si>
    <t>USECASE</t>
  </si>
  <si>
    <t>测试用例</t>
  </si>
  <si>
    <t>JAVA</t>
  </si>
  <si>
    <t>CURL</t>
  </si>
  <si>
    <t>HTTP</t>
  </si>
  <si>
    <t>INTERFACE</t>
  </si>
  <si>
    <t>接口层</t>
  </si>
  <si>
    <t>角色层</t>
  </si>
  <si>
    <t>GENERAL</t>
  </si>
  <si>
    <t>测试</t>
  </si>
  <si>
    <t>自动生成</t>
  </si>
  <si>
    <t>服务</t>
  </si>
  <si>
    <t>接口</t>
  </si>
  <si>
    <t>AccessTokenQueryParam</t>
  </si>
  <si>
    <t>AccessToken查询参数变量</t>
  </si>
  <si>
    <t>13</t>
  </si>
  <si>
    <t>AccessTokenHeader</t>
  </si>
  <si>
    <t>AccessToken请求头变量</t>
  </si>
  <si>
    <t>14</t>
  </si>
  <si>
    <t>E</t>
  </si>
  <si>
    <t>失败</t>
  </si>
  <si>
    <t>客户端层</t>
  </si>
  <si>
    <t>FILE</t>
  </si>
  <si>
    <t>文件</t>
  </si>
  <si>
    <t>NUMBER</t>
  </si>
  <si>
    <t>数字</t>
  </si>
  <si>
    <t>String</t>
  </si>
  <si>
    <t>脱敏</t>
  </si>
  <si>
    <t>数据源</t>
  </si>
  <si>
    <t>DataSource</t>
  </si>
  <si>
    <t>CANCELLED</t>
  </si>
  <si>
    <t>INTERNAL</t>
  </si>
  <si>
    <t>内部接口</t>
  </si>
  <si>
    <t>EXTERNAL</t>
  </si>
  <si>
    <t>外部接口</t>
  </si>
  <si>
    <t>COMPOSITE</t>
  </si>
  <si>
    <t>无</t>
  </si>
  <si>
    <t>MD5</t>
  </si>
  <si>
    <t>BASE64</t>
  </si>
  <si>
    <t>SHA256</t>
  </si>
  <si>
    <t>SHA512</t>
  </si>
  <si>
    <t>AI</t>
  </si>
  <si>
    <t>人工智能</t>
  </si>
  <si>
    <t>ROUND_ROBIN</t>
  </si>
  <si>
    <t>轮询</t>
  </si>
  <si>
    <t>WEIGHT</t>
  </si>
  <si>
    <t>权重</t>
  </si>
  <si>
    <t>BOOLEAN</t>
  </si>
  <si>
    <t>布尔值</t>
  </si>
  <si>
    <t>OCR_INVOICE</t>
  </si>
  <si>
    <t>增值税发票识别</t>
  </si>
  <si>
    <t>TEST</t>
  </si>
  <si>
    <t>测试类</t>
  </si>
  <si>
    <t>OCR_TRAIN_TICKET</t>
  </si>
  <si>
    <t>火车票识别</t>
  </si>
  <si>
    <t>OCR_GENERAL_BASIC</t>
  </si>
  <si>
    <t>通用文字识别</t>
  </si>
  <si>
    <t>OCR_BUSINESS_LICENSE</t>
  </si>
  <si>
    <t>营业执照识别</t>
  </si>
  <si>
    <t>OCR_QUOTA_INVOICE</t>
  </si>
  <si>
    <t>定额发票识别</t>
  </si>
  <si>
    <t>OCR_ID_CARD</t>
  </si>
  <si>
    <t>身份证识别</t>
  </si>
  <si>
    <t>OCR_TAXI_RECEIPT</t>
  </si>
  <si>
    <t>出租车票识别</t>
  </si>
  <si>
    <t>MULTI_IMAGE</t>
  </si>
  <si>
    <t>票据切割</t>
  </si>
  <si>
    <t>PASSWORD_TEXT</t>
  </si>
  <si>
    <t>PASSWORD_DIGEST</t>
  </si>
  <si>
    <t>清理三天之前日志数据</t>
  </si>
  <si>
    <t>清理一周之前日志数据</t>
  </si>
  <si>
    <t>清理一个月之前日志数据</t>
  </si>
  <si>
    <t>清理三个月之前日志数据</t>
  </si>
  <si>
    <t>清理六个月以前日志数据</t>
  </si>
  <si>
    <t>清理一年以前日志数据</t>
  </si>
  <si>
    <t>OCR</t>
  </si>
  <si>
    <t>文字识别</t>
  </si>
  <si>
    <t>TEST-001</t>
  </si>
  <si>
    <t>测试类1</t>
  </si>
  <si>
    <t>RAW</t>
  </si>
  <si>
    <t>未经转换的对象类型</t>
  </si>
  <si>
    <t>PENDING</t>
  </si>
  <si>
    <t>待定</t>
  </si>
  <si>
    <t>RUNNING</t>
  </si>
  <si>
    <t>运行</t>
  </si>
  <si>
    <t>COMPLETE</t>
  </si>
  <si>
    <t>完成</t>
  </si>
  <si>
    <t>FAILED</t>
  </si>
  <si>
    <t>INT</t>
  </si>
  <si>
    <t>DATETIME</t>
  </si>
  <si>
    <t>ConnectTimeout</t>
  </si>
  <si>
    <t>连接超时</t>
  </si>
  <si>
    <t>SocketTimeout</t>
  </si>
  <si>
    <t>socket超时</t>
  </si>
  <si>
    <t>小时</t>
  </si>
  <si>
    <t>天</t>
  </si>
  <si>
    <t>月</t>
  </si>
  <si>
    <t>NEW</t>
  </si>
  <si>
    <t>新建</t>
  </si>
  <si>
    <t>PUBLISHED</t>
  </si>
  <si>
    <t>已发布</t>
  </si>
  <si>
    <t>已撤销</t>
  </si>
  <si>
    <t>已删除</t>
  </si>
  <si>
    <t>SERVER</t>
  </si>
  <si>
    <t>GROUP</t>
  </si>
  <si>
    <t>组合</t>
  </si>
  <si>
    <t>NEED_PAY</t>
  </si>
  <si>
    <t>账单待支付</t>
  </si>
  <si>
    <t>AVAILABLE</t>
  </si>
  <si>
    <t>可用</t>
  </si>
  <si>
    <t>BILLING</t>
  </si>
  <si>
    <t>结算中</t>
  </si>
  <si>
    <t>USE_UP</t>
  </si>
  <si>
    <t>已到期</t>
  </si>
  <si>
    <t>=</t>
  </si>
  <si>
    <t>&gt;</t>
  </si>
  <si>
    <t>&lt;</t>
  </si>
  <si>
    <t>&gt;=</t>
  </si>
  <si>
    <t>&lt;=</t>
  </si>
  <si>
    <t>!=</t>
  </si>
  <si>
    <t>LIKE</t>
  </si>
  <si>
    <t>DBO</t>
  </si>
  <si>
    <t>表或视图</t>
  </si>
  <si>
    <t>查询SQL语句</t>
  </si>
  <si>
    <t>VARCHAR</t>
  </si>
  <si>
    <t>FLOAT</t>
  </si>
  <si>
    <t>TINYINT</t>
  </si>
  <si>
    <t>BIGINT</t>
  </si>
  <si>
    <t>DECIMAL</t>
  </si>
  <si>
    <t>TIMESTAMP</t>
  </si>
  <si>
    <t>CHAR</t>
  </si>
  <si>
    <t>LT</t>
  </si>
  <si>
    <t>≥</t>
  </si>
  <si>
    <t>LET</t>
  </si>
  <si>
    <t>≤</t>
  </si>
  <si>
    <t>NE</t>
  </si>
  <si>
    <t>NC</t>
  </si>
  <si>
    <t>NOT LIKE</t>
  </si>
  <si>
    <t>IN</t>
  </si>
  <si>
    <t>无密</t>
  </si>
  <si>
    <t>绝密</t>
  </si>
  <si>
    <t>字符</t>
  </si>
  <si>
    <t>COLLECTION</t>
  </si>
  <si>
    <t>集合</t>
  </si>
  <si>
    <t>DS</t>
  </si>
  <si>
    <t>http://</t>
  </si>
  <si>
    <t>https://</t>
  </si>
  <si>
    <t>LONGTEXT</t>
  </si>
  <si>
    <t>INTELLIGENT_SINGLE_IMAGE</t>
  </si>
  <si>
    <t>智能单图识别</t>
  </si>
  <si>
    <t>THREE_DAYS_AGO</t>
  </si>
  <si>
    <t>ONE_WEEK_AGO</t>
  </si>
  <si>
    <t>ONE_MONTH_AGO</t>
  </si>
  <si>
    <t>THREE_MONTHS_AGO</t>
  </si>
  <si>
    <t>SIX_MONTHS_AGO</t>
  </si>
  <si>
    <t>ONE_YEAR_AGO</t>
  </si>
  <si>
    <t>Feign</t>
  </si>
  <si>
    <t>Service</t>
  </si>
  <si>
    <t>Object</t>
  </si>
  <si>
    <t>Array</t>
  </si>
  <si>
    <t>DIGITAL</t>
  </si>
  <si>
    <t>Digital</t>
  </si>
  <si>
    <t>BOOL</t>
  </si>
  <si>
    <t>布尔</t>
  </si>
  <si>
    <t>Boolean</t>
  </si>
  <si>
    <t>MAPPING</t>
  </si>
  <si>
    <t>结构映射</t>
  </si>
  <si>
    <t>ITG_PAYLOAD</t>
  </si>
  <si>
    <t>集成平台响应映射</t>
  </si>
  <si>
    <t>ROW</t>
  </si>
  <si>
    <t>行结构</t>
  </si>
  <si>
    <t>TREE</t>
  </si>
  <si>
    <t>树结构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</si>
  <si>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</si>
  <si>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</si>
  <si>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</si>
  <si>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</si>
  <si>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</si>
  <si>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</si>
  <si>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</si>
  <si>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</si>
  <si>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</si>
  <si>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</si>
  <si>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</si>
  <si>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</si>
  <si>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</si>
  <si>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</si>
  <si>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hpfm_lov_view_header-1059</t>
  </si>
  <si>
    <t>clientName</t>
  </si>
  <si>
    <t>选择客户端</t>
  </si>
  <si>
    <t>hpfm_lov_view_header-1060</t>
  </si>
  <si>
    <t>应用未绑定的服务列表</t>
  </si>
  <si>
    <t>interfaceServerId</t>
  </si>
  <si>
    <t>选择服务</t>
  </si>
  <si>
    <t>hpfm_lov_view_header-1061</t>
  </si>
  <si>
    <t>选择应用大类</t>
  </si>
  <si>
    <t>hpfm_lov_view_header-1062</t>
  </si>
  <si>
    <t>选择应用小类</t>
  </si>
  <si>
    <t>hpfm_lov_view_header-1063</t>
  </si>
  <si>
    <t>选择认证层级</t>
  </si>
  <si>
    <t>hpfm_lov_view_header-1064</t>
  </si>
  <si>
    <t>hpfm_lov_view_header-1065</t>
  </si>
  <si>
    <t>serverCode</t>
  </si>
  <si>
    <t>hpfm_lov_view_header-1066</t>
  </si>
  <si>
    <t>选择代码类型</t>
  </si>
  <si>
    <t>hpfm_lov_view_header-1067</t>
  </si>
  <si>
    <t>选择组合接口</t>
  </si>
  <si>
    <t>hpfm_lov_view_header-1068</t>
  </si>
  <si>
    <t>选择实例接口</t>
  </si>
  <si>
    <t>hpfm_lov_view_header-1069</t>
  </si>
  <si>
    <t>服务接口</t>
  </si>
  <si>
    <t>hpfm_lov_view_header-1070</t>
  </si>
  <si>
    <t>interface_server_id</t>
  </si>
  <si>
    <t>server_code</t>
  </si>
  <si>
    <t>hpfm_lov_view_header-1071</t>
  </si>
  <si>
    <t>请求内容值集视图</t>
  </si>
  <si>
    <t>选择请求内容</t>
  </si>
  <si>
    <t>hpfm_lov_view_header-1072</t>
  </si>
  <si>
    <t>datasourceId</t>
  </si>
  <si>
    <t>hpfm_lov_view_header-1073</t>
  </si>
  <si>
    <t>文档可选参数</t>
  </si>
  <si>
    <t>选择文档可选参数</t>
  </si>
  <si>
    <t>hpfm_lov_view_header-1074</t>
  </si>
  <si>
    <t>超阈值措施视图</t>
  </si>
  <si>
    <t>选择超阈值措施</t>
  </si>
  <si>
    <t>hpfm_lov_view_header-1075</t>
  </si>
  <si>
    <t>HTTP操作类型视图</t>
  </si>
  <si>
    <t>选择HTTP操作类型</t>
  </si>
  <si>
    <t>hpfm_lov_view_header-1076</t>
  </si>
  <si>
    <t>选择请求头参数</t>
  </si>
  <si>
    <t>hpfm_lov_view_header-1077</t>
  </si>
  <si>
    <t>选择接口请求类型</t>
  </si>
  <si>
    <t>hpfm_lov_view_header-1078</t>
  </si>
  <si>
    <t>MIME类型视图</t>
  </si>
  <si>
    <t>选择MIME类型</t>
  </si>
  <si>
    <t>hpfm_lov_view_header-1079</t>
  </si>
  <si>
    <t>选择参数映射</t>
  </si>
  <si>
    <t>hpfm_lov_view_header-1080</t>
  </si>
  <si>
    <t>请求参数类型视图</t>
  </si>
  <si>
    <t>选择请求参数类型</t>
  </si>
  <si>
    <t>hpfm_lov_view_header-1081</t>
  </si>
  <si>
    <t>备选参数列表</t>
  </si>
  <si>
    <t>选择备选参数</t>
  </si>
  <si>
    <t>hpfm_lov_view_header-1082</t>
  </si>
  <si>
    <t>参数值类型视图</t>
  </si>
  <si>
    <t>选择参数值类型</t>
  </si>
  <si>
    <t>hpfm_lov_view_header-1083</t>
  </si>
  <si>
    <t>raw类型的类型选择</t>
  </si>
  <si>
    <t>选择raw类型</t>
  </si>
  <si>
    <t>hpfm_lov_view_header-1084</t>
  </si>
  <si>
    <t>角色可分配权限</t>
  </si>
  <si>
    <t>选择角色</t>
  </si>
  <si>
    <t>hpfm_lov_view_header-1087</t>
  </si>
  <si>
    <t>根节点类型视图</t>
  </si>
  <si>
    <t>选择根节点类型</t>
  </si>
  <si>
    <t>hpfm_lov_view_header-1090</t>
  </si>
  <si>
    <t>选择测试用例</t>
  </si>
  <si>
    <t>hpfm_lov_view_header-1091</t>
  </si>
  <si>
    <t>选择调用统计维度</t>
  </si>
  <si>
    <t>hpfm_lov_view_header-1092</t>
  </si>
  <si>
    <t>选择宽免周期</t>
  </si>
  <si>
    <t>hpfm_lov_view_header-1094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</si>
  <si>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</si>
  <si>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</si>
  <si>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</si>
  <si>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</si>
  <si>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</si>
  <si>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</si>
  <si>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</si>
  <si>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</si>
  <si>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</si>
  <si>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</si>
  <si>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</si>
  <si>
    <t>hpfm_lov_view_line-1097</t>
  </si>
  <si>
    <t>客户端名称</t>
  </si>
  <si>
    <t>hpfm_lov_view_line-1098</t>
  </si>
  <si>
    <t>服务名称</t>
  </si>
  <si>
    <t>serverName</t>
  </si>
  <si>
    <t>hpfm_lov_view_line-1099</t>
  </si>
  <si>
    <t>含义</t>
  </si>
  <si>
    <t>hpfm_lov_view_line-1100</t>
  </si>
  <si>
    <t>代码</t>
  </si>
  <si>
    <t>hpfm_lov_view_line-1101</t>
  </si>
  <si>
    <t>hpfm_lov_view_line-1102</t>
  </si>
  <si>
    <t>hpfm_lov_view_line-1103</t>
  </si>
  <si>
    <t>hpfm_lov_view_line-1104</t>
  </si>
  <si>
    <t>hpfm_lov_view_line-1105</t>
  </si>
  <si>
    <t>接口编码</t>
  </si>
  <si>
    <t>hpfm_lov_view_line-1106</t>
  </si>
  <si>
    <t>接口ID</t>
  </si>
  <si>
    <t>hpfm_lov_view_line-1107</t>
  </si>
  <si>
    <t>接口名称</t>
  </si>
  <si>
    <t>hpfm_lov_view_line-1108</t>
  </si>
  <si>
    <t>服务编码</t>
  </si>
  <si>
    <t>hpfm_lov_view_line-1109</t>
  </si>
  <si>
    <t>服务ID</t>
  </si>
  <si>
    <t>hpfm_lov_view_line-1110</t>
  </si>
  <si>
    <t>hpfm_lov_view_line-1111</t>
  </si>
  <si>
    <t>hpfm_lov_view_line-1112</t>
  </si>
  <si>
    <t>hpfm_lov_view_line-1113</t>
  </si>
  <si>
    <t>类型</t>
  </si>
  <si>
    <t>hpfm_lov_view_line-1114</t>
  </si>
  <si>
    <t>接口代码</t>
  </si>
  <si>
    <t>hpfm_lov_view_line-1115</t>
  </si>
  <si>
    <t>hpfm_lov_view_line-1116</t>
  </si>
  <si>
    <t>服务代码</t>
  </si>
  <si>
    <t>hpfm_lov_view_line-1117</t>
  </si>
  <si>
    <t>hpfm_lov_view_line-1118</t>
  </si>
  <si>
    <t>hpfm_lov_view_line-1119</t>
  </si>
  <si>
    <t>hpfm_lov_view_line-1120</t>
  </si>
  <si>
    <t>hpfm_lov_view_line-1121</t>
  </si>
  <si>
    <t>hpfm_lov_view_line-1122</t>
  </si>
  <si>
    <t>hpfm_lov_view_line-1123</t>
  </si>
  <si>
    <t>租户名称</t>
  </si>
  <si>
    <t>hpfm_lov_view_line-1124</t>
  </si>
  <si>
    <t>hpfm_lov_view_line-1125</t>
  </si>
  <si>
    <t>hpfm_lov_view_line-1126</t>
  </si>
  <si>
    <t>hpfm_lov_view_line-1127</t>
  </si>
  <si>
    <t>hpfm_lov_view_line-1128</t>
  </si>
  <si>
    <t>hpfm_lov_view_line-1129</t>
  </si>
  <si>
    <t>格式</t>
  </si>
  <si>
    <t>hpfm_lov_view_line-1130</t>
  </si>
  <si>
    <t>数据源编码</t>
  </si>
  <si>
    <t>datasourceCode</t>
  </si>
  <si>
    <t>hpfm_lov_view_line-1131</t>
  </si>
  <si>
    <t>描述</t>
  </si>
  <si>
    <t>hpfm_lov_view_line-1132</t>
  </si>
  <si>
    <t>参数名称</t>
  </si>
  <si>
    <t>hpfm_lov_view_line-1133</t>
  </si>
  <si>
    <t>措施含义</t>
  </si>
  <si>
    <t>hpfm_lov_view_line-1134</t>
  </si>
  <si>
    <t>措施编码</t>
  </si>
  <si>
    <t>hpfm_lov_view_line-1135</t>
  </si>
  <si>
    <t>类型名称</t>
  </si>
  <si>
    <t>hpfm_lov_view_line-1136</t>
  </si>
  <si>
    <t>类型代码</t>
  </si>
  <si>
    <t>hpfm_lov_view_line-1137</t>
  </si>
  <si>
    <t>参数</t>
  </si>
  <si>
    <t>hpfm_lov_view_line-1138</t>
  </si>
  <si>
    <t>hpfm_lov_view_line-1139</t>
  </si>
  <si>
    <t>类型编码</t>
  </si>
  <si>
    <t>hpfm_lov_view_line-1140</t>
  </si>
  <si>
    <t>hpfm_lov_view_line-1141</t>
  </si>
  <si>
    <t>menaing</t>
  </si>
  <si>
    <t>hpfm_lov_view_line-1142</t>
  </si>
  <si>
    <t>hpfm_lov_view_line-1143</t>
  </si>
  <si>
    <t>hpfm_lov_view_line-1144</t>
  </si>
  <si>
    <t>paramType</t>
  </si>
  <si>
    <t>hpfm_lov_view_line-1145</t>
  </si>
  <si>
    <t>类型含义</t>
  </si>
  <si>
    <t>hpfm_lov_view_line-1146</t>
  </si>
  <si>
    <t>hpfm_lov_view_line-1147</t>
  </si>
  <si>
    <t>参数值</t>
  </si>
  <si>
    <t>hpfm_lov_view_line-1148</t>
  </si>
  <si>
    <t>hpfm_lov_view_line-1149</t>
  </si>
  <si>
    <t>hpfm_lov_view_line-1150</t>
  </si>
  <si>
    <t>hpfm_lov_view_line-1151</t>
  </si>
  <si>
    <t>hpfm_lov_view_line-1152</t>
  </si>
  <si>
    <t>hpfm_lov_view_line-1153</t>
  </si>
  <si>
    <t>hpfm_lov_view_line-1154</t>
  </si>
  <si>
    <t>hpfm_lov_view_line-1159</t>
  </si>
  <si>
    <t>hpfm_lov_view_line-1162</t>
  </si>
  <si>
    <t>用例名称</t>
  </si>
  <si>
    <t>hpfm_lov_view_line-1163</t>
  </si>
  <si>
    <t>hpfm_lov_view_line-1164</t>
  </si>
  <si>
    <t>hpfm_lov_view_line-1165</t>
  </si>
  <si>
    <t>hpfm_lov_view_line-1166</t>
  </si>
  <si>
    <t>hpfm_lov_view_line-1169</t>
  </si>
  <si>
    <t>测试用例名称</t>
  </si>
  <si>
    <t>USECASE</t>
    <phoneticPr fontId="15" type="noConversion"/>
  </si>
  <si>
    <t>测试用例</t>
    <phoneticPr fontId="15" type="noConversion"/>
  </si>
  <si>
    <t>自动生成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</si>
</sst>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color rgb="FF000000"/>
      <name val="微软雅黑"/>
      <charset val="134"/>
    </font>
    <font>
      <b/>
      <sz val="12"/>
      <color rgb="FF000000"/>
      <name val="微软雅黑"/>
      <family val="2"/>
      <charset val="134"/>
    </font>
    <font>
      <sz val="12"/>
      <color rgb="FFC55A11"/>
      <name val="DengXian"/>
      <family val="4"/>
      <charset val="134"/>
    </font>
    <font>
      <sz val="12"/>
      <color rgb="FF2E75B6"/>
      <name val="DengXian"/>
      <family val="4"/>
      <charset val="134"/>
    </font>
    <font>
      <sz val="12"/>
      <color rgb="FF548235"/>
      <name val="微软雅黑"/>
      <family val="2"/>
      <charset val="134"/>
    </font>
    <font>
      <sz val="12"/>
      <color rgb="FF000000"/>
      <name val="DengXian"/>
      <family val="4"/>
      <charset val="134"/>
    </font>
    <font>
      <b/>
      <sz val="12"/>
      <color rgb="FF000000"/>
      <name val="DengXian"/>
      <family val="4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family val="4"/>
      <charset val="134"/>
    </font>
    <font>
      <sz val="12"/>
      <color rgb="FFFF0000"/>
      <name val="DengXian"/>
      <family val="4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6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14" fillId="0" borderId="0" xfId="0" applyFont="1"/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workbookViewId="0"/>
  </sheetViews>
  <sheetFormatPr baseColWidth="10" defaultColWidth="9" defaultRowHeight="18"/>
  <cols>
    <col min="1" max="1" width="15.5703125" style="1" customWidth="1"/>
    <col min="2" max="2" width="10.28515625" style="2" customWidth="1"/>
    <col min="3" max="3" width="28.140625" customWidth="1"/>
    <col min="4" max="4" width="35.28515625" style="3" customWidth="1"/>
    <col min="5" max="5" width="38.5703125" customWidth="1"/>
    <col min="6" max="6" width="23.42578125" customWidth="1"/>
    <col min="7" max="7" width="21.5703125" customWidth="1"/>
    <col min="8" max="8" width="22" customWidth="1"/>
    <col min="9" max="9" width="24.5703125" customWidth="1"/>
    <col min="10" max="10" width="27" customWidth="1"/>
    <col min="11" max="11" width="19.140625" customWidth="1"/>
    <col min="12" max="12" width="18.5703125" customWidth="1"/>
    <col min="13" max="13" width="13.140625" customWidth="1"/>
    <col min="14" max="1025" width="10.28515625" customWidth="1"/>
  </cols>
  <sheetData>
    <row r="1" spans="1:8" ht="64.5" customHeight="1">
      <c r="A1" s="4"/>
      <c r="C1" s="56" t="s">
        <v>0</v>
      </c>
      <c r="D1" s="56"/>
      <c r="E1" s="56"/>
      <c r="F1" s="5"/>
      <c r="G1" s="5"/>
      <c r="H1" s="5"/>
    </row>
    <row r="2" spans="1:8">
      <c r="E2" s="6"/>
    </row>
    <row r="3" spans="1:8" ht="49.5" customHeight="1">
      <c r="C3" s="55" t="s">
        <v>1</v>
      </c>
      <c r="D3" s="55"/>
      <c r="E3" s="57" t="s">
        <v>2</v>
      </c>
      <c r="F3" s="57"/>
      <c r="G3" s="57"/>
    </row>
    <row r="4" spans="1:8" ht="19">
      <c r="C4" s="58" t="s">
        <v>3</v>
      </c>
      <c r="D4" s="58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7">
      <c r="C9" s="16" t="s">
        <v>13</v>
      </c>
      <c r="D9" s="17" t="s">
        <v>14</v>
      </c>
      <c r="E9" s="18" t="s">
        <v>15</v>
      </c>
      <c r="F9" t="s">
        <v>16</v>
      </c>
    </row>
    <row r="10" spans="1:8" ht="57">
      <c r="C10" s="19" t="s">
        <v>17</v>
      </c>
      <c r="D10" s="17" t="s">
        <v>18</v>
      </c>
      <c r="E10" s="18" t="s">
        <v>19</v>
      </c>
    </row>
    <row r="11" spans="1:8" ht="76">
      <c r="C11" s="13" t="s">
        <v>20</v>
      </c>
      <c r="D11" s="17" t="s">
        <v>21</v>
      </c>
      <c r="E11" s="18" t="s">
        <v>22</v>
      </c>
    </row>
    <row r="12" spans="1:8" ht="19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8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59" t="s">
        <v>30</v>
      </c>
      <c r="D19" s="59"/>
      <c r="E19" s="59"/>
    </row>
    <row r="20" spans="3:5">
      <c r="C20" s="24" t="s">
        <v>31</v>
      </c>
      <c r="D20" s="6" t="s">
        <v>32</v>
      </c>
    </row>
    <row r="21" spans="3:5">
      <c r="C21" s="24" t="s">
        <v>33</v>
      </c>
      <c r="D21" s="6" t="s">
        <v>34</v>
      </c>
    </row>
    <row r="22" spans="3:5">
      <c r="C22" s="24" t="s">
        <v>35</v>
      </c>
      <c r="D22" s="3" t="s">
        <v>36</v>
      </c>
    </row>
    <row r="23" spans="3:5">
      <c r="C23" s="24" t="s">
        <v>37</v>
      </c>
      <c r="D23" s="3" t="s">
        <v>38</v>
      </c>
    </row>
    <row r="25" spans="3:5" ht="69" customHeight="1">
      <c r="C25" s="25" t="s">
        <v>39</v>
      </c>
      <c r="D25" s="55" t="s">
        <v>40</v>
      </c>
      <c r="E25" s="55"/>
    </row>
    <row r="26" spans="3:5" ht="14.25" customHeight="1">
      <c r="C26" s="14" t="s">
        <v>41</v>
      </c>
      <c r="D26" s="55" t="s">
        <v>42</v>
      </c>
      <c r="E26" s="55"/>
    </row>
    <row r="27" spans="3:5" ht="57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5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67"/>
  <sheetViews>
    <sheetView tabSelected="1" topLeftCell="A127" workbookViewId="0">
      <selection activeCell="H155" sqref="H155"/>
    </sheetView>
  </sheetViews>
  <sheetFormatPr baseColWidth="10" defaultColWidth="8.7109375" defaultRowHeight="18"/>
  <cols>
    <col min="5" max="5" width="26" bestFit="1" customWidth="1"/>
    <col min="6" max="7" width="32.7109375" bestFit="1" customWidth="1"/>
    <col min="8" max="8" width="33.85546875" bestFit="1" customWidth="1"/>
  </cols>
  <sheetData>
    <row r="1" spans="1:24">
      <c r="A1" s="27" t="s">
        <v>44</v>
      </c>
      <c r="B1" s="28" t="s">
        <v>45</v>
      </c>
      <c r="C1" s="29" t="s">
        <v>9</v>
      </c>
      <c r="D1" s="30" t="s">
        <v>46</v>
      </c>
    </row>
    <row r="4" spans="1:24">
      <c r="E4" s="31" t="s">
        <v>47</v>
      </c>
      <c r="F4" s="32" t="s">
        <v>48</v>
      </c>
      <c r="G4" s="33" t="s">
        <v>49</v>
      </c>
    </row>
    <row r="7" spans="1:24">
      <c r="A7" t="s">
        <v>50</v>
      </c>
      <c r="B7" t="s">
        <v>51</v>
      </c>
      <c r="C7" t="s">
        <v>52</v>
      </c>
      <c r="D7" s="34" t="s">
        <v>53</v>
      </c>
      <c r="E7" s="35" t="s">
        <v>54</v>
      </c>
      <c r="F7" s="36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s="37" t="s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</row>
    <row r="8" spans="1:24">
      <c r="E8" t="s">
        <v>80</v>
      </c>
      <c r="F8" t="s">
        <v>81</v>
      </c>
      <c r="G8" t="s">
        <v>76</v>
      </c>
      <c r="H8" t="s">
        <v>78</v>
      </c>
      <c r="I8" t="s">
        <v>82</v>
      </c>
      <c r="J8" t="s">
        <v>82</v>
      </c>
      <c r="K8" t="s">
        <v>83</v>
      </c>
      <c r="M8" t="s">
        <v>73</v>
      </c>
      <c r="P8" t="s">
        <v>84</v>
      </c>
      <c r="T8" t="s">
        <v>74</v>
      </c>
      <c r="U8" t="s">
        <v>74</v>
      </c>
      <c r="V8" t="s">
        <v>77</v>
      </c>
      <c r="X8" t="e">
        <f>#REF!</f>
        <v>#REF!</v>
      </c>
    </row>
    <row r="9" spans="1:24">
      <c r="E9" t="s">
        <v>85</v>
      </c>
      <c r="F9" t="s">
        <v>86</v>
      </c>
      <c r="G9" t="s">
        <v>72</v>
      </c>
      <c r="H9" t="s">
        <v>87</v>
      </c>
      <c r="I9" t="s">
        <v>88</v>
      </c>
      <c r="J9" t="s">
        <v>88</v>
      </c>
      <c r="K9" t="s">
        <v>89</v>
      </c>
      <c r="L9" t="s">
        <v>89</v>
      </c>
      <c r="M9" t="s">
        <v>73</v>
      </c>
      <c r="Q9" t="s">
        <v>90</v>
      </c>
      <c r="R9" t="s">
        <v>91</v>
      </c>
      <c r="S9" t="s">
        <v>92</v>
      </c>
      <c r="T9" t="s">
        <v>74</v>
      </c>
      <c r="U9" t="s">
        <v>74</v>
      </c>
    </row>
    <row r="10" spans="1:24">
      <c r="E10" t="s">
        <v>93</v>
      </c>
      <c r="F10" t="s">
        <v>94</v>
      </c>
      <c r="G10" t="s">
        <v>75</v>
      </c>
      <c r="I10" t="s">
        <v>95</v>
      </c>
      <c r="J10" t="s">
        <v>95</v>
      </c>
      <c r="M10" t="s">
        <v>73</v>
      </c>
      <c r="T10" t="s">
        <v>74</v>
      </c>
      <c r="U10" t="s">
        <v>74</v>
      </c>
    </row>
    <row r="11" spans="1:24">
      <c r="E11" t="s">
        <v>96</v>
      </c>
      <c r="F11" t="s">
        <v>97</v>
      </c>
      <c r="G11" t="s">
        <v>75</v>
      </c>
      <c r="I11" t="s">
        <v>98</v>
      </c>
      <c r="J11" t="s">
        <v>98</v>
      </c>
      <c r="M11" t="s">
        <v>73</v>
      </c>
      <c r="T11" t="s">
        <v>74</v>
      </c>
      <c r="U11" t="s">
        <v>74</v>
      </c>
    </row>
    <row r="12" spans="1:24">
      <c r="E12" t="s">
        <v>99</v>
      </c>
      <c r="F12" t="s">
        <v>100</v>
      </c>
      <c r="G12" t="s">
        <v>75</v>
      </c>
      <c r="I12" t="s">
        <v>101</v>
      </c>
      <c r="J12" t="s">
        <v>101</v>
      </c>
      <c r="M12" t="s">
        <v>73</v>
      </c>
      <c r="T12" t="s">
        <v>74</v>
      </c>
      <c r="U12" t="s">
        <v>74</v>
      </c>
    </row>
    <row r="13" spans="1:24">
      <c r="E13" t="s">
        <v>102</v>
      </c>
      <c r="F13" t="s">
        <v>103</v>
      </c>
      <c r="G13" t="s">
        <v>75</v>
      </c>
      <c r="I13" t="s">
        <v>104</v>
      </c>
      <c r="J13" t="s">
        <v>104</v>
      </c>
      <c r="M13" t="s">
        <v>73</v>
      </c>
      <c r="T13" t="s">
        <v>74</v>
      </c>
      <c r="U13" t="s">
        <v>74</v>
      </c>
    </row>
    <row r="14" spans="1:24">
      <c r="E14" t="s">
        <v>105</v>
      </c>
      <c r="F14" t="s">
        <v>106</v>
      </c>
      <c r="G14" t="s">
        <v>75</v>
      </c>
      <c r="I14" t="s">
        <v>107</v>
      </c>
      <c r="J14" t="s">
        <v>107</v>
      </c>
      <c r="M14" t="s">
        <v>73</v>
      </c>
      <c r="T14" t="s">
        <v>74</v>
      </c>
      <c r="U14" t="s">
        <v>74</v>
      </c>
    </row>
    <row r="15" spans="1:24">
      <c r="E15" t="s">
        <v>108</v>
      </c>
      <c r="F15" t="s">
        <v>109</v>
      </c>
      <c r="G15" t="s">
        <v>75</v>
      </c>
      <c r="I15" t="s">
        <v>110</v>
      </c>
      <c r="J15" t="s">
        <v>110</v>
      </c>
      <c r="M15" t="s">
        <v>73</v>
      </c>
      <c r="T15" t="s">
        <v>74</v>
      </c>
      <c r="U15" t="s">
        <v>74</v>
      </c>
    </row>
    <row r="16" spans="1:24">
      <c r="E16" t="s">
        <v>111</v>
      </c>
      <c r="F16" t="s">
        <v>112</v>
      </c>
      <c r="G16" t="s">
        <v>75</v>
      </c>
      <c r="I16" t="s">
        <v>113</v>
      </c>
      <c r="J16" t="s">
        <v>113</v>
      </c>
      <c r="M16" t="s">
        <v>73</v>
      </c>
      <c r="T16" t="s">
        <v>74</v>
      </c>
      <c r="U16" t="s">
        <v>74</v>
      </c>
    </row>
    <row r="17" spans="5:21">
      <c r="E17" t="s">
        <v>114</v>
      </c>
      <c r="F17" t="s">
        <v>115</v>
      </c>
      <c r="G17" t="s">
        <v>75</v>
      </c>
      <c r="I17" t="s">
        <v>116</v>
      </c>
      <c r="J17" t="s">
        <v>116</v>
      </c>
      <c r="M17" t="s">
        <v>73</v>
      </c>
      <c r="T17" t="s">
        <v>74</v>
      </c>
      <c r="U17" t="s">
        <v>74</v>
      </c>
    </row>
    <row r="18" spans="5:21">
      <c r="E18" t="s">
        <v>118</v>
      </c>
      <c r="F18" t="s">
        <v>119</v>
      </c>
      <c r="G18" t="s">
        <v>75</v>
      </c>
      <c r="I18" t="s">
        <v>120</v>
      </c>
      <c r="J18" t="s">
        <v>120</v>
      </c>
      <c r="K18" t="s">
        <v>120</v>
      </c>
      <c r="L18" t="s">
        <v>120</v>
      </c>
      <c r="M18" t="s">
        <v>73</v>
      </c>
      <c r="T18" t="s">
        <v>73</v>
      </c>
      <c r="U18" t="s">
        <v>74</v>
      </c>
    </row>
    <row r="19" spans="5:21">
      <c r="E19" t="s">
        <v>121</v>
      </c>
      <c r="F19" t="s">
        <v>122</v>
      </c>
      <c r="G19" t="s">
        <v>75</v>
      </c>
      <c r="I19" t="s">
        <v>123</v>
      </c>
      <c r="J19" t="s">
        <v>123</v>
      </c>
      <c r="K19" t="s">
        <v>123</v>
      </c>
      <c r="L19" t="s">
        <v>123</v>
      </c>
      <c r="M19" t="s">
        <v>73</v>
      </c>
      <c r="T19" t="s">
        <v>74</v>
      </c>
      <c r="U19" t="s">
        <v>74</v>
      </c>
    </row>
    <row r="20" spans="5:21">
      <c r="E20" t="s">
        <v>124</v>
      </c>
      <c r="F20" t="s">
        <v>125</v>
      </c>
      <c r="G20" t="s">
        <v>75</v>
      </c>
      <c r="I20" t="s">
        <v>126</v>
      </c>
      <c r="J20" t="s">
        <v>126</v>
      </c>
      <c r="K20" t="s">
        <v>126</v>
      </c>
      <c r="L20" t="s">
        <v>126</v>
      </c>
      <c r="M20" t="s">
        <v>73</v>
      </c>
      <c r="T20" t="s">
        <v>74</v>
      </c>
      <c r="U20" t="s">
        <v>74</v>
      </c>
    </row>
    <row r="21" spans="5:21">
      <c r="E21" t="s">
        <v>127</v>
      </c>
      <c r="F21" t="s">
        <v>128</v>
      </c>
      <c r="G21" t="s">
        <v>75</v>
      </c>
      <c r="I21" t="s">
        <v>129</v>
      </c>
      <c r="J21" t="s">
        <v>129</v>
      </c>
      <c r="M21" t="s">
        <v>73</v>
      </c>
      <c r="T21" t="s">
        <v>74</v>
      </c>
      <c r="U21" t="s">
        <v>74</v>
      </c>
    </row>
    <row r="22" spans="5:21">
      <c r="E22" t="s">
        <v>130</v>
      </c>
      <c r="F22" t="s">
        <v>131</v>
      </c>
      <c r="G22" t="s">
        <v>75</v>
      </c>
      <c r="I22" t="s">
        <v>132</v>
      </c>
      <c r="J22" t="s">
        <v>132</v>
      </c>
      <c r="M22" t="s">
        <v>73</v>
      </c>
      <c r="T22" t="s">
        <v>74</v>
      </c>
      <c r="U22" t="s">
        <v>74</v>
      </c>
    </row>
    <row r="23" spans="5:21">
      <c r="E23" t="s">
        <v>133</v>
      </c>
      <c r="F23" t="s">
        <v>134</v>
      </c>
      <c r="G23" t="s">
        <v>75</v>
      </c>
      <c r="I23" t="s">
        <v>135</v>
      </c>
      <c r="J23" t="s">
        <v>135</v>
      </c>
      <c r="M23" t="s">
        <v>73</v>
      </c>
      <c r="T23" t="s">
        <v>74</v>
      </c>
      <c r="U23" t="s">
        <v>74</v>
      </c>
    </row>
    <row r="24" spans="5:21">
      <c r="E24" t="s">
        <v>136</v>
      </c>
      <c r="F24" t="s">
        <v>137</v>
      </c>
      <c r="G24" t="s">
        <v>75</v>
      </c>
      <c r="I24" t="s">
        <v>138</v>
      </c>
      <c r="J24" t="s">
        <v>138</v>
      </c>
      <c r="M24" t="s">
        <v>73</v>
      </c>
      <c r="T24" t="s">
        <v>74</v>
      </c>
      <c r="U24" t="s">
        <v>74</v>
      </c>
    </row>
    <row r="25" spans="5:21">
      <c r="E25" t="s">
        <v>139</v>
      </c>
      <c r="F25" t="s">
        <v>140</v>
      </c>
      <c r="G25" t="s">
        <v>75</v>
      </c>
      <c r="I25" t="s">
        <v>141</v>
      </c>
      <c r="J25" t="s">
        <v>141</v>
      </c>
      <c r="M25" t="s">
        <v>73</v>
      </c>
      <c r="T25" t="s">
        <v>74</v>
      </c>
      <c r="U25" t="s">
        <v>74</v>
      </c>
    </row>
    <row r="26" spans="5:21">
      <c r="E26" t="s">
        <v>142</v>
      </c>
      <c r="F26" t="s">
        <v>143</v>
      </c>
      <c r="G26" t="s">
        <v>75</v>
      </c>
      <c r="I26" t="s">
        <v>144</v>
      </c>
      <c r="J26" t="s">
        <v>144</v>
      </c>
      <c r="M26" t="s">
        <v>73</v>
      </c>
      <c r="T26" t="s">
        <v>74</v>
      </c>
      <c r="U26" t="s">
        <v>74</v>
      </c>
    </row>
    <row r="27" spans="5:21">
      <c r="E27" t="s">
        <v>145</v>
      </c>
      <c r="F27" t="s">
        <v>146</v>
      </c>
      <c r="G27" t="s">
        <v>75</v>
      </c>
      <c r="I27" t="s">
        <v>147</v>
      </c>
      <c r="J27" t="s">
        <v>147</v>
      </c>
      <c r="M27" t="s">
        <v>73</v>
      </c>
      <c r="T27" t="s">
        <v>74</v>
      </c>
      <c r="U27" t="s">
        <v>74</v>
      </c>
    </row>
    <row r="28" spans="5:21">
      <c r="E28" t="s">
        <v>148</v>
      </c>
      <c r="F28" t="s">
        <v>149</v>
      </c>
      <c r="G28" t="s">
        <v>75</v>
      </c>
      <c r="I28" t="s">
        <v>150</v>
      </c>
      <c r="J28" t="s">
        <v>150</v>
      </c>
      <c r="M28" t="s">
        <v>73</v>
      </c>
      <c r="T28" t="s">
        <v>74</v>
      </c>
      <c r="U28" t="s">
        <v>74</v>
      </c>
    </row>
    <row r="29" spans="5:21">
      <c r="E29" t="s">
        <v>151</v>
      </c>
      <c r="F29" t="s">
        <v>152</v>
      </c>
      <c r="G29" t="s">
        <v>72</v>
      </c>
      <c r="H29" t="s">
        <v>87</v>
      </c>
      <c r="I29" t="s">
        <v>153</v>
      </c>
      <c r="J29" t="s">
        <v>153</v>
      </c>
      <c r="M29" t="s">
        <v>73</v>
      </c>
      <c r="Q29" t="s">
        <v>154</v>
      </c>
      <c r="R29" t="s">
        <v>155</v>
      </c>
      <c r="S29" t="s">
        <v>156</v>
      </c>
      <c r="T29" t="s">
        <v>74</v>
      </c>
      <c r="U29" t="s">
        <v>74</v>
      </c>
    </row>
    <row r="30" spans="5:21">
      <c r="E30" t="s">
        <v>157</v>
      </c>
      <c r="F30" t="s">
        <v>158</v>
      </c>
      <c r="G30" t="s">
        <v>75</v>
      </c>
      <c r="I30" t="s">
        <v>159</v>
      </c>
      <c r="J30" t="s">
        <v>159</v>
      </c>
      <c r="M30" t="s">
        <v>73</v>
      </c>
      <c r="T30" t="s">
        <v>74</v>
      </c>
      <c r="U30" t="s">
        <v>74</v>
      </c>
    </row>
    <row r="31" spans="5:21">
      <c r="E31" t="s">
        <v>160</v>
      </c>
      <c r="F31" t="s">
        <v>161</v>
      </c>
      <c r="G31" t="s">
        <v>75</v>
      </c>
      <c r="I31" t="s">
        <v>162</v>
      </c>
      <c r="J31" t="s">
        <v>162</v>
      </c>
      <c r="M31" t="s">
        <v>73</v>
      </c>
      <c r="R31" t="s">
        <v>91</v>
      </c>
      <c r="S31" t="s">
        <v>92</v>
      </c>
      <c r="T31" t="s">
        <v>74</v>
      </c>
      <c r="U31" t="s">
        <v>74</v>
      </c>
    </row>
    <row r="32" spans="5:21">
      <c r="E32" t="s">
        <v>163</v>
      </c>
      <c r="F32" t="s">
        <v>164</v>
      </c>
      <c r="G32" t="s">
        <v>76</v>
      </c>
      <c r="H32" t="s">
        <v>87</v>
      </c>
      <c r="I32" t="s">
        <v>165</v>
      </c>
      <c r="J32" t="s">
        <v>165</v>
      </c>
      <c r="M32" t="s">
        <v>73</v>
      </c>
      <c r="P32" t="s">
        <v>166</v>
      </c>
      <c r="R32" t="s">
        <v>167</v>
      </c>
      <c r="S32" t="s">
        <v>167</v>
      </c>
      <c r="T32" t="s">
        <v>74</v>
      </c>
      <c r="U32" t="s">
        <v>74</v>
      </c>
    </row>
    <row r="33" spans="5:22">
      <c r="E33" t="s">
        <v>168</v>
      </c>
      <c r="F33" t="s">
        <v>169</v>
      </c>
      <c r="G33" t="s">
        <v>75</v>
      </c>
      <c r="I33" t="s">
        <v>170</v>
      </c>
      <c r="J33" t="s">
        <v>170</v>
      </c>
      <c r="M33" t="s">
        <v>73</v>
      </c>
      <c r="T33" t="s">
        <v>74</v>
      </c>
      <c r="U33" t="s">
        <v>74</v>
      </c>
    </row>
    <row r="34" spans="5:22">
      <c r="E34" t="s">
        <v>171</v>
      </c>
      <c r="F34" t="s">
        <v>172</v>
      </c>
      <c r="G34" t="s">
        <v>75</v>
      </c>
      <c r="I34" t="s">
        <v>173</v>
      </c>
      <c r="J34" t="s">
        <v>173</v>
      </c>
      <c r="M34" t="s">
        <v>73</v>
      </c>
      <c r="T34" t="s">
        <v>74</v>
      </c>
      <c r="U34" t="s">
        <v>74</v>
      </c>
    </row>
    <row r="35" spans="5:22">
      <c r="E35" t="s">
        <v>174</v>
      </c>
      <c r="F35" t="s">
        <v>175</v>
      </c>
      <c r="G35" t="s">
        <v>72</v>
      </c>
      <c r="H35" t="s">
        <v>87</v>
      </c>
      <c r="I35" t="s">
        <v>176</v>
      </c>
      <c r="J35" t="s">
        <v>176</v>
      </c>
      <c r="M35" t="s">
        <v>73</v>
      </c>
      <c r="Q35" t="s">
        <v>177</v>
      </c>
      <c r="T35" t="s">
        <v>74</v>
      </c>
      <c r="U35" t="s">
        <v>74</v>
      </c>
    </row>
    <row r="36" spans="5:22">
      <c r="E36" t="s">
        <v>178</v>
      </c>
      <c r="F36" t="s">
        <v>179</v>
      </c>
      <c r="G36" t="s">
        <v>76</v>
      </c>
      <c r="H36" t="s">
        <v>87</v>
      </c>
      <c r="I36" t="s">
        <v>180</v>
      </c>
      <c r="J36" t="s">
        <v>180</v>
      </c>
      <c r="M36" t="s">
        <v>73</v>
      </c>
      <c r="P36" t="s">
        <v>181</v>
      </c>
      <c r="R36" t="s">
        <v>182</v>
      </c>
      <c r="S36" t="s">
        <v>183</v>
      </c>
      <c r="T36" t="s">
        <v>74</v>
      </c>
      <c r="U36" t="s">
        <v>74</v>
      </c>
    </row>
    <row r="37" spans="5:22">
      <c r="E37" t="s">
        <v>185</v>
      </c>
      <c r="F37" t="s">
        <v>186</v>
      </c>
      <c r="G37" t="s">
        <v>72</v>
      </c>
      <c r="H37" t="s">
        <v>87</v>
      </c>
      <c r="I37" t="s">
        <v>187</v>
      </c>
      <c r="J37" t="s">
        <v>187</v>
      </c>
      <c r="M37" t="s">
        <v>73</v>
      </c>
      <c r="Q37" t="s">
        <v>188</v>
      </c>
      <c r="T37" t="s">
        <v>74</v>
      </c>
      <c r="U37" t="s">
        <v>74</v>
      </c>
    </row>
    <row r="38" spans="5:22">
      <c r="E38" t="s">
        <v>189</v>
      </c>
      <c r="F38" t="s">
        <v>190</v>
      </c>
      <c r="G38" t="s">
        <v>75</v>
      </c>
      <c r="I38" t="s">
        <v>191</v>
      </c>
      <c r="J38" t="s">
        <v>191</v>
      </c>
      <c r="M38" t="s">
        <v>73</v>
      </c>
      <c r="T38" t="s">
        <v>74</v>
      </c>
      <c r="U38" t="s">
        <v>74</v>
      </c>
    </row>
    <row r="39" spans="5:22">
      <c r="E39" t="s">
        <v>192</v>
      </c>
      <c r="F39" t="s">
        <v>193</v>
      </c>
      <c r="G39" t="s">
        <v>75</v>
      </c>
      <c r="I39" t="s">
        <v>194</v>
      </c>
      <c r="J39" t="s">
        <v>194</v>
      </c>
      <c r="M39" t="s">
        <v>73</v>
      </c>
      <c r="T39" t="s">
        <v>74</v>
      </c>
      <c r="U39" t="s">
        <v>74</v>
      </c>
    </row>
    <row r="40" spans="5:22">
      <c r="E40" t="s">
        <v>195</v>
      </c>
      <c r="F40" t="s">
        <v>196</v>
      </c>
      <c r="G40" t="s">
        <v>75</v>
      </c>
      <c r="I40" t="s">
        <v>197</v>
      </c>
      <c r="J40" t="s">
        <v>197</v>
      </c>
      <c r="M40" t="s">
        <v>73</v>
      </c>
      <c r="T40" t="s">
        <v>74</v>
      </c>
      <c r="U40" t="s">
        <v>74</v>
      </c>
    </row>
    <row r="41" spans="5:22">
      <c r="E41" t="s">
        <v>198</v>
      </c>
      <c r="F41" t="s">
        <v>199</v>
      </c>
      <c r="G41" t="s">
        <v>75</v>
      </c>
      <c r="I41" t="s">
        <v>200</v>
      </c>
      <c r="J41" t="s">
        <v>200</v>
      </c>
      <c r="M41" t="s">
        <v>73</v>
      </c>
      <c r="N41" t="s">
        <v>196</v>
      </c>
      <c r="O41" t="s">
        <v>73</v>
      </c>
      <c r="T41" t="s">
        <v>74</v>
      </c>
      <c r="U41" t="s">
        <v>74</v>
      </c>
    </row>
    <row r="42" spans="5:22">
      <c r="E42" t="s">
        <v>201</v>
      </c>
      <c r="F42" t="s">
        <v>202</v>
      </c>
      <c r="G42" t="s">
        <v>75</v>
      </c>
      <c r="I42" t="s">
        <v>203</v>
      </c>
      <c r="J42" t="s">
        <v>203</v>
      </c>
      <c r="M42" t="s">
        <v>73</v>
      </c>
      <c r="T42" t="s">
        <v>74</v>
      </c>
      <c r="U42" t="s">
        <v>74</v>
      </c>
    </row>
    <row r="43" spans="5:22">
      <c r="E43" t="s">
        <v>204</v>
      </c>
      <c r="F43" t="s">
        <v>205</v>
      </c>
      <c r="G43" t="s">
        <v>76</v>
      </c>
      <c r="H43" t="s">
        <v>87</v>
      </c>
      <c r="I43" t="s">
        <v>206</v>
      </c>
      <c r="J43" t="s">
        <v>206</v>
      </c>
      <c r="M43" t="s">
        <v>73</v>
      </c>
      <c r="P43" t="s">
        <v>207</v>
      </c>
      <c r="R43" t="s">
        <v>208</v>
      </c>
      <c r="S43" t="s">
        <v>209</v>
      </c>
      <c r="T43" t="s">
        <v>74</v>
      </c>
      <c r="U43" t="s">
        <v>74</v>
      </c>
    </row>
    <row r="44" spans="5:22">
      <c r="E44" t="s">
        <v>210</v>
      </c>
      <c r="F44" t="s">
        <v>211</v>
      </c>
      <c r="G44" t="s">
        <v>76</v>
      </c>
      <c r="H44" t="s">
        <v>87</v>
      </c>
      <c r="I44" t="s">
        <v>212</v>
      </c>
      <c r="J44" t="s">
        <v>212</v>
      </c>
      <c r="M44" t="s">
        <v>73</v>
      </c>
      <c r="P44" t="s">
        <v>213</v>
      </c>
      <c r="R44" t="s">
        <v>214</v>
      </c>
      <c r="S44" t="s">
        <v>215</v>
      </c>
      <c r="T44" t="s">
        <v>74</v>
      </c>
      <c r="U44" t="s">
        <v>74</v>
      </c>
    </row>
    <row r="45" spans="5:22">
      <c r="E45" t="s">
        <v>216</v>
      </c>
      <c r="F45" s="54" t="s">
        <v>217</v>
      </c>
      <c r="G45" t="s">
        <v>76</v>
      </c>
      <c r="H45" t="s">
        <v>87</v>
      </c>
      <c r="I45" t="s">
        <v>218</v>
      </c>
      <c r="J45" t="s">
        <v>218</v>
      </c>
      <c r="M45" t="s">
        <v>73</v>
      </c>
      <c r="P45" t="s">
        <v>219</v>
      </c>
      <c r="R45" t="s">
        <v>220</v>
      </c>
      <c r="S45" t="s">
        <v>183</v>
      </c>
      <c r="T45" t="s">
        <v>74</v>
      </c>
      <c r="U45" t="s">
        <v>74</v>
      </c>
    </row>
    <row r="46" spans="5:22">
      <c r="E46" t="s">
        <v>221</v>
      </c>
      <c r="F46" t="s">
        <v>222</v>
      </c>
      <c r="G46" t="s">
        <v>75</v>
      </c>
      <c r="I46" t="s">
        <v>223</v>
      </c>
      <c r="J46" t="s">
        <v>223</v>
      </c>
      <c r="M46" t="s">
        <v>73</v>
      </c>
      <c r="T46" t="s">
        <v>74</v>
      </c>
      <c r="U46" t="s">
        <v>74</v>
      </c>
    </row>
    <row r="47" spans="5:22">
      <c r="E47" t="s">
        <v>224</v>
      </c>
      <c r="F47" t="s">
        <v>225</v>
      </c>
      <c r="G47" t="s">
        <v>75</v>
      </c>
      <c r="I47" t="s">
        <v>226</v>
      </c>
      <c r="J47" t="s">
        <v>226</v>
      </c>
      <c r="M47" t="s">
        <v>73</v>
      </c>
      <c r="T47" t="s">
        <v>74</v>
      </c>
      <c r="U47" t="s">
        <v>74</v>
      </c>
    </row>
    <row r="48" spans="5:22">
      <c r="E48" t="s">
        <v>227</v>
      </c>
      <c r="F48" t="s">
        <v>228</v>
      </c>
      <c r="G48" t="s">
        <v>76</v>
      </c>
      <c r="H48" t="s">
        <v>229</v>
      </c>
      <c r="I48" t="s">
        <v>230</v>
      </c>
      <c r="J48" t="s">
        <v>230</v>
      </c>
      <c r="M48" t="s">
        <v>73</v>
      </c>
      <c r="P48" t="s">
        <v>231</v>
      </c>
      <c r="T48" t="s">
        <v>74</v>
      </c>
      <c r="U48" t="s">
        <v>74</v>
      </c>
      <c r="V48" t="s">
        <v>77</v>
      </c>
    </row>
    <row r="49" spans="5:22">
      <c r="E49" t="s">
        <v>232</v>
      </c>
      <c r="F49" t="s">
        <v>233</v>
      </c>
      <c r="G49" t="s">
        <v>76</v>
      </c>
      <c r="H49" t="s">
        <v>229</v>
      </c>
      <c r="I49" t="s">
        <v>206</v>
      </c>
      <c r="J49" t="s">
        <v>206</v>
      </c>
      <c r="M49" t="s">
        <v>73</v>
      </c>
      <c r="P49" t="s">
        <v>234</v>
      </c>
      <c r="R49" t="s">
        <v>77</v>
      </c>
      <c r="S49" t="s">
        <v>77</v>
      </c>
      <c r="T49" t="s">
        <v>74</v>
      </c>
      <c r="U49" t="s">
        <v>74</v>
      </c>
      <c r="V49" t="s">
        <v>77</v>
      </c>
    </row>
    <row r="50" spans="5:22">
      <c r="E50" t="s">
        <v>235</v>
      </c>
      <c r="F50" t="s">
        <v>236</v>
      </c>
      <c r="G50" t="s">
        <v>75</v>
      </c>
      <c r="I50" t="s">
        <v>237</v>
      </c>
      <c r="J50" t="s">
        <v>237</v>
      </c>
      <c r="M50" t="s">
        <v>73</v>
      </c>
      <c r="T50" t="s">
        <v>74</v>
      </c>
      <c r="U50" t="s">
        <v>74</v>
      </c>
    </row>
    <row r="51" spans="5:22">
      <c r="E51" t="s">
        <v>238</v>
      </c>
      <c r="F51" t="s">
        <v>239</v>
      </c>
      <c r="G51" t="s">
        <v>75</v>
      </c>
      <c r="I51" t="s">
        <v>240</v>
      </c>
      <c r="J51" t="s">
        <v>240</v>
      </c>
      <c r="M51" t="s">
        <v>73</v>
      </c>
      <c r="T51" t="s">
        <v>74</v>
      </c>
      <c r="U51" t="s">
        <v>74</v>
      </c>
    </row>
    <row r="52" spans="5:22">
      <c r="E52" t="s">
        <v>241</v>
      </c>
      <c r="F52" t="s">
        <v>242</v>
      </c>
      <c r="G52" t="s">
        <v>75</v>
      </c>
      <c r="I52" t="s">
        <v>243</v>
      </c>
      <c r="J52" t="s">
        <v>243</v>
      </c>
      <c r="M52" t="s">
        <v>73</v>
      </c>
      <c r="T52" t="s">
        <v>74</v>
      </c>
      <c r="U52" t="s">
        <v>74</v>
      </c>
    </row>
    <row r="53" spans="5:22">
      <c r="E53" t="s">
        <v>244</v>
      </c>
      <c r="F53" t="s">
        <v>245</v>
      </c>
      <c r="G53" t="s">
        <v>75</v>
      </c>
      <c r="I53" t="s">
        <v>246</v>
      </c>
      <c r="J53" t="s">
        <v>246</v>
      </c>
      <c r="M53" t="s">
        <v>73</v>
      </c>
      <c r="T53" t="s">
        <v>74</v>
      </c>
      <c r="U53" t="s">
        <v>74</v>
      </c>
    </row>
    <row r="54" spans="5:22">
      <c r="E54" t="s">
        <v>247</v>
      </c>
      <c r="F54" t="s">
        <v>248</v>
      </c>
      <c r="G54" t="s">
        <v>75</v>
      </c>
      <c r="I54" t="s">
        <v>249</v>
      </c>
      <c r="J54" t="s">
        <v>249</v>
      </c>
      <c r="M54" t="s">
        <v>73</v>
      </c>
      <c r="T54" t="s">
        <v>74</v>
      </c>
      <c r="U54" t="s">
        <v>74</v>
      </c>
    </row>
    <row r="55" spans="5:22">
      <c r="E55" t="s">
        <v>250</v>
      </c>
      <c r="F55" t="s">
        <v>251</v>
      </c>
      <c r="G55" t="s">
        <v>75</v>
      </c>
      <c r="I55" t="s">
        <v>252</v>
      </c>
      <c r="J55" t="s">
        <v>252</v>
      </c>
      <c r="M55" t="s">
        <v>73</v>
      </c>
      <c r="T55" t="s">
        <v>74</v>
      </c>
      <c r="U55" t="s">
        <v>74</v>
      </c>
    </row>
    <row r="56" spans="5:22">
      <c r="E56" t="s">
        <v>253</v>
      </c>
      <c r="F56" t="s">
        <v>254</v>
      </c>
      <c r="G56" t="s">
        <v>76</v>
      </c>
      <c r="H56" t="s">
        <v>87</v>
      </c>
      <c r="I56" t="s">
        <v>255</v>
      </c>
      <c r="J56" t="s">
        <v>256</v>
      </c>
      <c r="M56" t="s">
        <v>73</v>
      </c>
      <c r="P56" t="s">
        <v>257</v>
      </c>
      <c r="T56" t="s">
        <v>74</v>
      </c>
      <c r="U56" t="s">
        <v>74</v>
      </c>
      <c r="V56" t="s">
        <v>77</v>
      </c>
    </row>
    <row r="57" spans="5:22">
      <c r="E57" t="s">
        <v>258</v>
      </c>
      <c r="F57" t="s">
        <v>259</v>
      </c>
      <c r="G57" t="s">
        <v>76</v>
      </c>
      <c r="H57" t="s">
        <v>87</v>
      </c>
      <c r="I57" t="s">
        <v>260</v>
      </c>
      <c r="J57" t="s">
        <v>260</v>
      </c>
      <c r="M57" t="s">
        <v>73</v>
      </c>
      <c r="P57" t="s">
        <v>261</v>
      </c>
      <c r="T57" t="s">
        <v>74</v>
      </c>
      <c r="U57" t="s">
        <v>74</v>
      </c>
      <c r="V57" t="s">
        <v>77</v>
      </c>
    </row>
    <row r="58" spans="5:22">
      <c r="E58" t="s">
        <v>262</v>
      </c>
      <c r="F58" t="s">
        <v>263</v>
      </c>
      <c r="G58" t="s">
        <v>75</v>
      </c>
      <c r="I58" t="s">
        <v>264</v>
      </c>
      <c r="J58" t="s">
        <v>264</v>
      </c>
      <c r="K58" t="s">
        <v>264</v>
      </c>
      <c r="L58" t="s">
        <v>264</v>
      </c>
      <c r="M58" t="s">
        <v>73</v>
      </c>
      <c r="T58" t="s">
        <v>74</v>
      </c>
      <c r="U58" t="s">
        <v>74</v>
      </c>
    </row>
    <row r="59" spans="5:22">
      <c r="E59" t="s">
        <v>265</v>
      </c>
      <c r="F59" t="s">
        <v>266</v>
      </c>
      <c r="G59" t="s">
        <v>75</v>
      </c>
      <c r="I59" t="s">
        <v>267</v>
      </c>
      <c r="J59" t="s">
        <v>267</v>
      </c>
      <c r="K59" t="s">
        <v>267</v>
      </c>
      <c r="L59" t="s">
        <v>267</v>
      </c>
      <c r="M59" t="s">
        <v>73</v>
      </c>
      <c r="T59" t="s">
        <v>74</v>
      </c>
      <c r="U59" t="s">
        <v>74</v>
      </c>
    </row>
    <row r="60" spans="5:22">
      <c r="E60" t="s">
        <v>268</v>
      </c>
      <c r="F60" t="s">
        <v>269</v>
      </c>
      <c r="G60" t="s">
        <v>75</v>
      </c>
      <c r="I60" t="s">
        <v>270</v>
      </c>
      <c r="J60" t="s">
        <v>270</v>
      </c>
      <c r="K60" t="s">
        <v>270</v>
      </c>
      <c r="L60" t="s">
        <v>270</v>
      </c>
      <c r="M60" t="s">
        <v>73</v>
      </c>
      <c r="T60" t="s">
        <v>74</v>
      </c>
      <c r="U60" t="s">
        <v>74</v>
      </c>
    </row>
    <row r="61" spans="5:22">
      <c r="E61" t="s">
        <v>271</v>
      </c>
      <c r="F61" t="s">
        <v>272</v>
      </c>
      <c r="G61" t="s">
        <v>75</v>
      </c>
      <c r="I61" t="s">
        <v>273</v>
      </c>
      <c r="J61" t="s">
        <v>273</v>
      </c>
      <c r="K61" t="s">
        <v>273</v>
      </c>
      <c r="L61" t="s">
        <v>273</v>
      </c>
      <c r="M61" t="s">
        <v>73</v>
      </c>
      <c r="T61" t="s">
        <v>74</v>
      </c>
      <c r="U61" t="s">
        <v>74</v>
      </c>
    </row>
    <row r="62" spans="5:22">
      <c r="E62" t="s">
        <v>274</v>
      </c>
      <c r="F62" t="s">
        <v>275</v>
      </c>
      <c r="G62" t="s">
        <v>75</v>
      </c>
      <c r="I62" t="s">
        <v>123</v>
      </c>
      <c r="J62" t="s">
        <v>276</v>
      </c>
      <c r="K62" t="s">
        <v>123</v>
      </c>
      <c r="L62" t="s">
        <v>276</v>
      </c>
      <c r="M62" t="s">
        <v>73</v>
      </c>
      <c r="T62" t="s">
        <v>74</v>
      </c>
      <c r="U62" t="s">
        <v>74</v>
      </c>
    </row>
    <row r="63" spans="5:22">
      <c r="E63" t="s">
        <v>277</v>
      </c>
      <c r="F63" t="s">
        <v>278</v>
      </c>
      <c r="G63" t="s">
        <v>75</v>
      </c>
      <c r="I63" t="s">
        <v>279</v>
      </c>
      <c r="J63" t="s">
        <v>280</v>
      </c>
      <c r="M63" t="s">
        <v>73</v>
      </c>
      <c r="T63" t="s">
        <v>74</v>
      </c>
      <c r="U63" t="s">
        <v>74</v>
      </c>
    </row>
    <row r="64" spans="5:22">
      <c r="E64" t="s">
        <v>281</v>
      </c>
      <c r="F64" t="s">
        <v>282</v>
      </c>
      <c r="G64" t="s">
        <v>76</v>
      </c>
      <c r="H64" t="s">
        <v>78</v>
      </c>
      <c r="I64" t="s">
        <v>283</v>
      </c>
      <c r="J64" t="s">
        <v>283</v>
      </c>
      <c r="K64" t="s">
        <v>284</v>
      </c>
      <c r="L64" t="s">
        <v>284</v>
      </c>
      <c r="M64" t="s">
        <v>73</v>
      </c>
      <c r="P64" t="s">
        <v>285</v>
      </c>
      <c r="T64" t="s">
        <v>74</v>
      </c>
      <c r="U64" t="s">
        <v>74</v>
      </c>
      <c r="V64" t="s">
        <v>77</v>
      </c>
    </row>
    <row r="65" spans="1:21">
      <c r="E65" t="s">
        <v>286</v>
      </c>
      <c r="F65" t="s">
        <v>287</v>
      </c>
      <c r="G65" t="s">
        <v>75</v>
      </c>
      <c r="I65" t="s">
        <v>288</v>
      </c>
      <c r="J65" t="s">
        <v>288</v>
      </c>
      <c r="K65" t="s">
        <v>288</v>
      </c>
      <c r="L65" t="s">
        <v>288</v>
      </c>
      <c r="M65" t="s">
        <v>73</v>
      </c>
      <c r="T65" t="s">
        <v>74</v>
      </c>
      <c r="U65" t="s">
        <v>74</v>
      </c>
    </row>
    <row r="66" spans="1:21">
      <c r="E66" t="s">
        <v>289</v>
      </c>
      <c r="F66" t="s">
        <v>290</v>
      </c>
      <c r="G66" t="s">
        <v>75</v>
      </c>
      <c r="I66" t="s">
        <v>291</v>
      </c>
      <c r="J66" t="s">
        <v>291</v>
      </c>
      <c r="M66" t="s">
        <v>73</v>
      </c>
      <c r="T66" t="s">
        <v>74</v>
      </c>
      <c r="U66" t="s">
        <v>74</v>
      </c>
    </row>
    <row r="67" spans="1:21">
      <c r="E67" t="s">
        <v>292</v>
      </c>
      <c r="F67" t="s">
        <v>293</v>
      </c>
      <c r="G67" t="s">
        <v>75</v>
      </c>
      <c r="I67" t="s">
        <v>184</v>
      </c>
      <c r="J67" t="s">
        <v>184</v>
      </c>
      <c r="K67" t="s">
        <v>184</v>
      </c>
      <c r="L67" t="s">
        <v>294</v>
      </c>
      <c r="M67" t="s">
        <v>73</v>
      </c>
      <c r="T67" t="s">
        <v>74</v>
      </c>
      <c r="U67" t="s">
        <v>74</v>
      </c>
    </row>
    <row r="68" spans="1:21">
      <c r="E68" t="s">
        <v>295</v>
      </c>
      <c r="F68" t="s">
        <v>296</v>
      </c>
      <c r="G68" t="s">
        <v>75</v>
      </c>
      <c r="I68" t="s">
        <v>297</v>
      </c>
      <c r="J68" t="s">
        <v>297</v>
      </c>
      <c r="K68" t="s">
        <v>297</v>
      </c>
      <c r="L68" t="s">
        <v>297</v>
      </c>
      <c r="M68" t="s">
        <v>73</v>
      </c>
      <c r="T68" t="s">
        <v>74</v>
      </c>
      <c r="U68" t="s">
        <v>74</v>
      </c>
    </row>
    <row r="69" spans="1:21">
      <c r="E69" t="s">
        <v>298</v>
      </c>
      <c r="F69" t="s">
        <v>299</v>
      </c>
      <c r="G69" t="s">
        <v>75</v>
      </c>
      <c r="I69" t="s">
        <v>300</v>
      </c>
      <c r="J69" t="s">
        <v>300</v>
      </c>
      <c r="K69" t="s">
        <v>301</v>
      </c>
      <c r="L69" t="s">
        <v>302</v>
      </c>
      <c r="M69" t="s">
        <v>73</v>
      </c>
      <c r="T69" t="s">
        <v>74</v>
      </c>
      <c r="U69" t="s">
        <v>74</v>
      </c>
    </row>
    <row r="70" spans="1:21">
      <c r="E70" t="s">
        <v>303</v>
      </c>
      <c r="F70" t="s">
        <v>304</v>
      </c>
      <c r="G70" t="s">
        <v>75</v>
      </c>
      <c r="I70" t="s">
        <v>305</v>
      </c>
      <c r="J70" t="s">
        <v>305</v>
      </c>
      <c r="M70" t="s">
        <v>73</v>
      </c>
      <c r="T70" t="s">
        <v>74</v>
      </c>
      <c r="U70" t="s">
        <v>74</v>
      </c>
    </row>
    <row r="72" spans="1:21">
      <c r="A72" t="s">
        <v>50</v>
      </c>
      <c r="B72" t="s">
        <v>51</v>
      </c>
      <c r="C72" t="s">
        <v>306</v>
      </c>
      <c r="D72" s="38" t="s">
        <v>307</v>
      </c>
      <c r="E72" s="39" t="s">
        <v>308</v>
      </c>
      <c r="F72" s="40" t="s">
        <v>309</v>
      </c>
      <c r="G72" t="s">
        <v>310</v>
      </c>
      <c r="H72" s="41" t="s">
        <v>311</v>
      </c>
      <c r="I72" t="s">
        <v>312</v>
      </c>
      <c r="J72" t="s">
        <v>313</v>
      </c>
      <c r="K72" t="s">
        <v>60</v>
      </c>
      <c r="L72" t="s">
        <v>61</v>
      </c>
      <c r="M72" s="42" t="s">
        <v>62</v>
      </c>
      <c r="N72" t="s">
        <v>314</v>
      </c>
      <c r="O72" t="s">
        <v>315</v>
      </c>
      <c r="P72" s="43" t="s">
        <v>316</v>
      </c>
      <c r="Q72" t="s">
        <v>317</v>
      </c>
      <c r="R72" t="s">
        <v>318</v>
      </c>
      <c r="S72" t="s">
        <v>70</v>
      </c>
    </row>
    <row r="73" spans="1:21">
      <c r="E73" t="s">
        <v>319</v>
      </c>
      <c r="F73" t="str">
        <f>值集数据!$E$10</f>
        <v>hpfm_lov-43</v>
      </c>
      <c r="G73" t="s">
        <v>94</v>
      </c>
      <c r="H73" t="s">
        <v>341</v>
      </c>
      <c r="I73" t="s">
        <v>341</v>
      </c>
      <c r="J73" t="s">
        <v>341</v>
      </c>
      <c r="M73" t="s">
        <v>73</v>
      </c>
      <c r="O73" t="s">
        <v>74</v>
      </c>
      <c r="S73" t="s">
        <v>74</v>
      </c>
    </row>
    <row r="74" spans="1:21">
      <c r="E74" t="s">
        <v>319</v>
      </c>
      <c r="F74" t="str">
        <f>值集数据!$E$10</f>
        <v>hpfm_lov-43</v>
      </c>
      <c r="G74" t="s">
        <v>94</v>
      </c>
      <c r="H74" t="s">
        <v>342</v>
      </c>
      <c r="I74" t="s">
        <v>342</v>
      </c>
      <c r="J74" t="s">
        <v>342</v>
      </c>
      <c r="M74" t="s">
        <v>73</v>
      </c>
      <c r="O74" t="s">
        <v>320</v>
      </c>
      <c r="S74" t="s">
        <v>74</v>
      </c>
    </row>
    <row r="75" spans="1:21">
      <c r="E75" t="s">
        <v>319</v>
      </c>
      <c r="F75" t="str">
        <f>值集数据!$E$10</f>
        <v>hpfm_lov-43</v>
      </c>
      <c r="G75" t="s">
        <v>94</v>
      </c>
      <c r="H75" t="s">
        <v>343</v>
      </c>
      <c r="I75" t="s">
        <v>343</v>
      </c>
      <c r="J75" t="s">
        <v>343</v>
      </c>
      <c r="M75" t="s">
        <v>73</v>
      </c>
      <c r="O75" t="s">
        <v>328</v>
      </c>
      <c r="S75" t="s">
        <v>74</v>
      </c>
    </row>
    <row r="76" spans="1:21">
      <c r="E76" t="s">
        <v>319</v>
      </c>
      <c r="F76" t="str">
        <f>值集数据!$E$11</f>
        <v>hpfm_lov-44</v>
      </c>
      <c r="G76" t="s">
        <v>97</v>
      </c>
      <c r="H76" t="s">
        <v>344</v>
      </c>
      <c r="I76" t="s">
        <v>344</v>
      </c>
      <c r="J76" t="s">
        <v>344</v>
      </c>
      <c r="M76" t="s">
        <v>73</v>
      </c>
      <c r="O76" t="s">
        <v>74</v>
      </c>
      <c r="S76" t="s">
        <v>74</v>
      </c>
    </row>
    <row r="77" spans="1:21">
      <c r="E77" t="s">
        <v>319</v>
      </c>
      <c r="F77" t="str">
        <f>值集数据!$E$11</f>
        <v>hpfm_lov-44</v>
      </c>
      <c r="G77" t="s">
        <v>97</v>
      </c>
      <c r="H77" t="s">
        <v>345</v>
      </c>
      <c r="I77" t="s">
        <v>345</v>
      </c>
      <c r="J77" t="s">
        <v>345</v>
      </c>
      <c r="M77" t="s">
        <v>73</v>
      </c>
      <c r="O77" t="s">
        <v>320</v>
      </c>
      <c r="S77" t="s">
        <v>74</v>
      </c>
    </row>
    <row r="78" spans="1:21">
      <c r="E78" t="s">
        <v>319</v>
      </c>
      <c r="F78" t="str">
        <f>值集数据!$E$12</f>
        <v>hpfm_lov-45</v>
      </c>
      <c r="G78" t="s">
        <v>100</v>
      </c>
      <c r="H78" t="s">
        <v>346</v>
      </c>
      <c r="I78" t="s">
        <v>347</v>
      </c>
      <c r="J78" t="s">
        <v>347</v>
      </c>
      <c r="M78" t="s">
        <v>73</v>
      </c>
      <c r="O78" t="s">
        <v>74</v>
      </c>
      <c r="S78" t="s">
        <v>74</v>
      </c>
    </row>
    <row r="79" spans="1:21">
      <c r="E79" t="s">
        <v>319</v>
      </c>
      <c r="F79" t="str">
        <f>值集数据!$E$12</f>
        <v>hpfm_lov-45</v>
      </c>
      <c r="G79" t="s">
        <v>100</v>
      </c>
      <c r="H79" t="s">
        <v>348</v>
      </c>
      <c r="I79" t="s">
        <v>349</v>
      </c>
      <c r="J79" t="s">
        <v>349</v>
      </c>
      <c r="M79" t="s">
        <v>73</v>
      </c>
      <c r="O79" t="s">
        <v>320</v>
      </c>
      <c r="S79" t="s">
        <v>74</v>
      </c>
    </row>
    <row r="80" spans="1:21">
      <c r="E80" t="s">
        <v>319</v>
      </c>
      <c r="F80" t="str">
        <f>值集数据!$E$12</f>
        <v>hpfm_lov-45</v>
      </c>
      <c r="G80" t="s">
        <v>100</v>
      </c>
      <c r="H80" t="s">
        <v>350</v>
      </c>
      <c r="I80" t="s">
        <v>351</v>
      </c>
      <c r="J80" t="s">
        <v>351</v>
      </c>
      <c r="M80" t="s">
        <v>73</v>
      </c>
      <c r="O80" t="s">
        <v>328</v>
      </c>
      <c r="S80" t="s">
        <v>74</v>
      </c>
    </row>
    <row r="81" spans="5:19">
      <c r="E81" t="s">
        <v>319</v>
      </c>
      <c r="F81" t="str">
        <f>值集数据!$E$13</f>
        <v>hpfm_lov-46</v>
      </c>
      <c r="G81" t="s">
        <v>103</v>
      </c>
      <c r="H81" t="s">
        <v>352</v>
      </c>
      <c r="I81" t="s">
        <v>352</v>
      </c>
      <c r="J81" t="s">
        <v>352</v>
      </c>
      <c r="M81" t="s">
        <v>73</v>
      </c>
      <c r="O81" t="s">
        <v>74</v>
      </c>
      <c r="S81" t="s">
        <v>74</v>
      </c>
    </row>
    <row r="82" spans="5:19">
      <c r="E82" t="s">
        <v>319</v>
      </c>
      <c r="F82" t="str">
        <f>值集数据!$E$13</f>
        <v>hpfm_lov-46</v>
      </c>
      <c r="G82" t="s">
        <v>103</v>
      </c>
      <c r="H82" t="s">
        <v>353</v>
      </c>
      <c r="I82" t="s">
        <v>353</v>
      </c>
      <c r="J82" t="s">
        <v>353</v>
      </c>
      <c r="M82" t="s">
        <v>73</v>
      </c>
      <c r="O82" t="s">
        <v>320</v>
      </c>
      <c r="S82" t="s">
        <v>74</v>
      </c>
    </row>
    <row r="83" spans="5:19">
      <c r="E83" t="s">
        <v>319</v>
      </c>
      <c r="F83" t="str">
        <f>值集数据!$E$14</f>
        <v>hpfm_lov-47</v>
      </c>
      <c r="G83" t="s">
        <v>106</v>
      </c>
      <c r="H83" t="s">
        <v>354</v>
      </c>
      <c r="I83" t="s">
        <v>354</v>
      </c>
      <c r="J83" t="s">
        <v>354</v>
      </c>
      <c r="M83" t="s">
        <v>73</v>
      </c>
      <c r="O83" t="s">
        <v>74</v>
      </c>
      <c r="S83" t="s">
        <v>74</v>
      </c>
    </row>
    <row r="84" spans="5:19">
      <c r="E84" t="s">
        <v>319</v>
      </c>
      <c r="F84" t="str">
        <f>值集数据!$E$14</f>
        <v>hpfm_lov-47</v>
      </c>
      <c r="G84" t="s">
        <v>106</v>
      </c>
      <c r="H84" t="s">
        <v>355</v>
      </c>
      <c r="I84" t="s">
        <v>355</v>
      </c>
      <c r="J84" t="s">
        <v>355</v>
      </c>
      <c r="M84" t="s">
        <v>73</v>
      </c>
      <c r="O84" t="s">
        <v>320</v>
      </c>
      <c r="S84" t="s">
        <v>74</v>
      </c>
    </row>
    <row r="85" spans="5:19">
      <c r="E85" t="s">
        <v>319</v>
      </c>
      <c r="F85" t="str">
        <f>值集数据!$E$14</f>
        <v>hpfm_lov-47</v>
      </c>
      <c r="G85" t="s">
        <v>106</v>
      </c>
      <c r="H85" t="s">
        <v>356</v>
      </c>
      <c r="I85" t="s">
        <v>356</v>
      </c>
      <c r="J85" t="s">
        <v>356</v>
      </c>
      <c r="M85" t="s">
        <v>73</v>
      </c>
      <c r="O85" t="s">
        <v>328</v>
      </c>
      <c r="S85" t="s">
        <v>74</v>
      </c>
    </row>
    <row r="86" spans="5:19">
      <c r="E86" t="s">
        <v>319</v>
      </c>
      <c r="F86" t="str">
        <f>值集数据!$E$14</f>
        <v>hpfm_lov-47</v>
      </c>
      <c r="G86" t="s">
        <v>106</v>
      </c>
      <c r="H86" t="s">
        <v>357</v>
      </c>
      <c r="I86" t="s">
        <v>357</v>
      </c>
      <c r="J86" t="s">
        <v>357</v>
      </c>
      <c r="M86" t="s">
        <v>73</v>
      </c>
      <c r="O86" t="s">
        <v>329</v>
      </c>
      <c r="S86" t="s">
        <v>74</v>
      </c>
    </row>
    <row r="87" spans="5:19">
      <c r="E87" t="s">
        <v>319</v>
      </c>
      <c r="F87" t="str">
        <f>值集数据!$E$15</f>
        <v>hpfm_lov-48</v>
      </c>
      <c r="G87" t="s">
        <v>109</v>
      </c>
      <c r="H87" t="s">
        <v>358</v>
      </c>
      <c r="I87" t="s">
        <v>358</v>
      </c>
      <c r="J87" t="s">
        <v>358</v>
      </c>
      <c r="M87" t="s">
        <v>73</v>
      </c>
      <c r="O87" t="s">
        <v>74</v>
      </c>
      <c r="S87" t="s">
        <v>74</v>
      </c>
    </row>
    <row r="88" spans="5:19">
      <c r="E88" t="s">
        <v>319</v>
      </c>
      <c r="F88" t="str">
        <f>值集数据!$E$15</f>
        <v>hpfm_lov-48</v>
      </c>
      <c r="G88" t="s">
        <v>109</v>
      </c>
      <c r="H88" t="s">
        <v>359</v>
      </c>
      <c r="I88" t="s">
        <v>359</v>
      </c>
      <c r="J88" t="s">
        <v>359</v>
      </c>
      <c r="M88" t="s">
        <v>73</v>
      </c>
      <c r="O88" t="s">
        <v>320</v>
      </c>
      <c r="S88" t="s">
        <v>74</v>
      </c>
    </row>
    <row r="89" spans="5:19">
      <c r="E89" t="s">
        <v>319</v>
      </c>
      <c r="F89" t="str">
        <f>值集数据!$E$16</f>
        <v>hpfm_lov-49</v>
      </c>
      <c r="G89" t="s">
        <v>112</v>
      </c>
      <c r="H89" t="s">
        <v>360</v>
      </c>
      <c r="I89" t="s">
        <v>360</v>
      </c>
      <c r="J89" t="s">
        <v>360</v>
      </c>
      <c r="M89" t="s">
        <v>73</v>
      </c>
      <c r="O89" t="s">
        <v>74</v>
      </c>
      <c r="S89" t="s">
        <v>74</v>
      </c>
    </row>
    <row r="90" spans="5:19">
      <c r="E90" t="s">
        <v>319</v>
      </c>
      <c r="F90" t="str">
        <f>值集数据!$E$16</f>
        <v>hpfm_lov-49</v>
      </c>
      <c r="G90" t="s">
        <v>112</v>
      </c>
      <c r="H90" t="s">
        <v>361</v>
      </c>
      <c r="I90" t="s">
        <v>361</v>
      </c>
      <c r="J90" t="s">
        <v>361</v>
      </c>
      <c r="M90" t="s">
        <v>73</v>
      </c>
      <c r="O90" t="s">
        <v>320</v>
      </c>
      <c r="S90" t="s">
        <v>74</v>
      </c>
    </row>
    <row r="91" spans="5:19">
      <c r="E91" t="s">
        <v>319</v>
      </c>
      <c r="F91" t="str">
        <f>值集数据!$E$18</f>
        <v>hpfm_lov-137</v>
      </c>
      <c r="G91" t="s">
        <v>119</v>
      </c>
      <c r="H91" t="s">
        <v>377</v>
      </c>
      <c r="I91" t="s">
        <v>378</v>
      </c>
      <c r="J91" t="s">
        <v>378</v>
      </c>
      <c r="M91" t="s">
        <v>73</v>
      </c>
      <c r="O91" t="s">
        <v>74</v>
      </c>
      <c r="S91" t="s">
        <v>74</v>
      </c>
    </row>
    <row r="92" spans="5:19">
      <c r="E92" t="s">
        <v>319</v>
      </c>
      <c r="F92" t="str">
        <f>值集数据!$E$18</f>
        <v>hpfm_lov-137</v>
      </c>
      <c r="G92" t="s">
        <v>119</v>
      </c>
      <c r="H92" t="s">
        <v>379</v>
      </c>
      <c r="I92" t="s">
        <v>380</v>
      </c>
      <c r="J92" t="s">
        <v>380</v>
      </c>
      <c r="M92" t="s">
        <v>73</v>
      </c>
      <c r="O92" t="s">
        <v>320</v>
      </c>
      <c r="S92" t="s">
        <v>74</v>
      </c>
    </row>
    <row r="93" spans="5:19">
      <c r="E93" t="s">
        <v>319</v>
      </c>
      <c r="F93" t="str">
        <f>值集数据!$E$18</f>
        <v>hpfm_lov-137</v>
      </c>
      <c r="G93" t="s">
        <v>119</v>
      </c>
      <c r="H93" t="s">
        <v>381</v>
      </c>
      <c r="I93" t="s">
        <v>382</v>
      </c>
      <c r="J93" t="s">
        <v>382</v>
      </c>
      <c r="M93" t="s">
        <v>73</v>
      </c>
      <c r="O93" t="s">
        <v>328</v>
      </c>
      <c r="S93" t="s">
        <v>74</v>
      </c>
    </row>
    <row r="94" spans="5:19">
      <c r="E94" t="s">
        <v>319</v>
      </c>
      <c r="F94" t="str">
        <f>值集数据!$E$18</f>
        <v>hpfm_lov-137</v>
      </c>
      <c r="G94" t="s">
        <v>119</v>
      </c>
      <c r="H94" t="s">
        <v>383</v>
      </c>
      <c r="I94" t="s">
        <v>352</v>
      </c>
      <c r="J94" t="s">
        <v>352</v>
      </c>
      <c r="M94" t="s">
        <v>73</v>
      </c>
      <c r="O94" t="s">
        <v>329</v>
      </c>
      <c r="S94" t="s">
        <v>74</v>
      </c>
    </row>
    <row r="95" spans="5:19">
      <c r="E95" t="s">
        <v>319</v>
      </c>
      <c r="F95" t="str">
        <f>值集数据!$E$19</f>
        <v>hpfm_lov-138</v>
      </c>
      <c r="G95" t="s">
        <v>122</v>
      </c>
      <c r="H95" t="s">
        <v>384</v>
      </c>
      <c r="I95" t="s">
        <v>385</v>
      </c>
      <c r="J95" t="s">
        <v>385</v>
      </c>
      <c r="M95" t="s">
        <v>73</v>
      </c>
      <c r="O95" t="s">
        <v>74</v>
      </c>
      <c r="S95" t="s">
        <v>74</v>
      </c>
    </row>
    <row r="96" spans="5:19">
      <c r="E96" t="s">
        <v>319</v>
      </c>
      <c r="F96" t="str">
        <f>值集数据!$E$19</f>
        <v>hpfm_lov-138</v>
      </c>
      <c r="G96" t="s">
        <v>122</v>
      </c>
      <c r="H96" t="s">
        <v>354</v>
      </c>
      <c r="I96" t="s">
        <v>386</v>
      </c>
      <c r="J96" t="s">
        <v>386</v>
      </c>
      <c r="M96" t="s">
        <v>73</v>
      </c>
      <c r="O96" t="s">
        <v>320</v>
      </c>
      <c r="S96" t="s">
        <v>74</v>
      </c>
    </row>
    <row r="97" spans="5:19">
      <c r="E97" t="s">
        <v>319</v>
      </c>
      <c r="F97" t="str">
        <f>值集数据!$E$19</f>
        <v>hpfm_lov-138</v>
      </c>
      <c r="G97" t="s">
        <v>122</v>
      </c>
      <c r="H97" t="s">
        <v>387</v>
      </c>
      <c r="I97" t="s">
        <v>388</v>
      </c>
      <c r="J97" t="s">
        <v>388</v>
      </c>
      <c r="M97" t="s">
        <v>73</v>
      </c>
      <c r="O97" t="s">
        <v>328</v>
      </c>
      <c r="S97" t="s">
        <v>74</v>
      </c>
    </row>
    <row r="98" spans="5:19">
      <c r="E98" t="s">
        <v>319</v>
      </c>
      <c r="F98" t="str">
        <f>值集数据!$E$19</f>
        <v>hpfm_lov-138</v>
      </c>
      <c r="G98" t="s">
        <v>122</v>
      </c>
      <c r="H98" t="s">
        <v>389</v>
      </c>
      <c r="I98" t="s">
        <v>390</v>
      </c>
      <c r="J98" t="s">
        <v>390</v>
      </c>
      <c r="M98" t="s">
        <v>73</v>
      </c>
      <c r="O98" t="s">
        <v>329</v>
      </c>
      <c r="S98" t="s">
        <v>74</v>
      </c>
    </row>
    <row r="99" spans="5:19">
      <c r="E99" t="s">
        <v>319</v>
      </c>
      <c r="F99" t="str">
        <f>值集数据!$E$20</f>
        <v>hpfm_lov-139</v>
      </c>
      <c r="G99" t="s">
        <v>125</v>
      </c>
      <c r="H99" t="s">
        <v>391</v>
      </c>
      <c r="I99" t="s">
        <v>392</v>
      </c>
      <c r="J99" t="s">
        <v>391</v>
      </c>
      <c r="M99" t="s">
        <v>73</v>
      </c>
      <c r="O99" t="s">
        <v>74</v>
      </c>
      <c r="S99" t="s">
        <v>74</v>
      </c>
    </row>
    <row r="100" spans="5:19">
      <c r="E100" t="s">
        <v>319</v>
      </c>
      <c r="F100" t="str">
        <f>值集数据!$E$20</f>
        <v>hpfm_lov-139</v>
      </c>
      <c r="G100" t="s">
        <v>125</v>
      </c>
      <c r="H100" t="s">
        <v>393</v>
      </c>
      <c r="I100" t="s">
        <v>394</v>
      </c>
      <c r="J100" t="s">
        <v>393</v>
      </c>
      <c r="M100" t="s">
        <v>73</v>
      </c>
      <c r="O100" t="s">
        <v>320</v>
      </c>
      <c r="S100" t="s">
        <v>74</v>
      </c>
    </row>
    <row r="101" spans="5:19">
      <c r="E101" t="s">
        <v>319</v>
      </c>
      <c r="F101" t="str">
        <f>值集数据!$E$20</f>
        <v>hpfm_lov-139</v>
      </c>
      <c r="G101" t="s">
        <v>125</v>
      </c>
      <c r="H101" t="s">
        <v>395</v>
      </c>
      <c r="I101" t="s">
        <v>396</v>
      </c>
      <c r="J101" t="s">
        <v>395</v>
      </c>
      <c r="M101" t="s">
        <v>73</v>
      </c>
      <c r="O101" t="s">
        <v>328</v>
      </c>
      <c r="S101" t="s">
        <v>74</v>
      </c>
    </row>
    <row r="102" spans="5:19">
      <c r="E102" t="s">
        <v>319</v>
      </c>
      <c r="F102" t="str">
        <f>值集数据!$E$21</f>
        <v>hpfm_lov-140</v>
      </c>
      <c r="G102" t="s">
        <v>128</v>
      </c>
      <c r="H102" t="s">
        <v>397</v>
      </c>
      <c r="I102" t="s">
        <v>398</v>
      </c>
      <c r="J102" t="s">
        <v>398</v>
      </c>
      <c r="M102" t="s">
        <v>73</v>
      </c>
      <c r="O102" t="s">
        <v>74</v>
      </c>
      <c r="S102" t="s">
        <v>74</v>
      </c>
    </row>
    <row r="103" spans="5:19">
      <c r="E103" t="s">
        <v>319</v>
      </c>
      <c r="F103" t="str">
        <f>值集数据!$E$21</f>
        <v>hpfm_lov-140</v>
      </c>
      <c r="G103" t="s">
        <v>128</v>
      </c>
      <c r="H103" t="s">
        <v>399</v>
      </c>
      <c r="I103" t="s">
        <v>400</v>
      </c>
      <c r="J103" t="s">
        <v>400</v>
      </c>
      <c r="M103" t="s">
        <v>73</v>
      </c>
      <c r="O103" t="s">
        <v>320</v>
      </c>
      <c r="S103" t="s">
        <v>74</v>
      </c>
    </row>
    <row r="104" spans="5:19">
      <c r="E104" t="s">
        <v>319</v>
      </c>
      <c r="F104" t="str">
        <f>值集数据!$E$22</f>
        <v>hpfm_lov-141</v>
      </c>
      <c r="G104" t="s">
        <v>131</v>
      </c>
      <c r="H104" t="s">
        <v>401</v>
      </c>
      <c r="I104" t="s">
        <v>401</v>
      </c>
      <c r="J104" t="s">
        <v>401</v>
      </c>
      <c r="M104" t="s">
        <v>73</v>
      </c>
      <c r="O104" t="s">
        <v>74</v>
      </c>
      <c r="S104" t="s">
        <v>74</v>
      </c>
    </row>
    <row r="105" spans="5:19">
      <c r="E105" t="s">
        <v>319</v>
      </c>
      <c r="F105" t="str">
        <f>值集数据!$E$22</f>
        <v>hpfm_lov-141</v>
      </c>
      <c r="G105" t="s">
        <v>131</v>
      </c>
      <c r="H105" t="s">
        <v>402</v>
      </c>
      <c r="I105" t="s">
        <v>402</v>
      </c>
      <c r="J105" t="s">
        <v>402</v>
      </c>
      <c r="M105" t="s">
        <v>73</v>
      </c>
      <c r="O105" t="s">
        <v>320</v>
      </c>
      <c r="S105" t="s">
        <v>74</v>
      </c>
    </row>
    <row r="106" spans="5:19">
      <c r="E106" t="s">
        <v>319</v>
      </c>
      <c r="F106" t="str">
        <f>值集数据!$E$22</f>
        <v>hpfm_lov-141</v>
      </c>
      <c r="G106" t="s">
        <v>131</v>
      </c>
      <c r="H106" t="s">
        <v>403</v>
      </c>
      <c r="I106" t="s">
        <v>403</v>
      </c>
      <c r="J106" t="s">
        <v>403</v>
      </c>
      <c r="M106" t="s">
        <v>73</v>
      </c>
      <c r="O106" t="s">
        <v>328</v>
      </c>
      <c r="S106" t="s">
        <v>74</v>
      </c>
    </row>
    <row r="107" spans="5:19">
      <c r="E107" t="s">
        <v>319</v>
      </c>
      <c r="F107" t="str">
        <f>值集数据!$E$22</f>
        <v>hpfm_lov-141</v>
      </c>
      <c r="G107" t="s">
        <v>131</v>
      </c>
      <c r="H107" t="s">
        <v>404</v>
      </c>
      <c r="I107" t="s">
        <v>404</v>
      </c>
      <c r="J107" t="s">
        <v>404</v>
      </c>
      <c r="M107" t="s">
        <v>73</v>
      </c>
      <c r="O107" t="s">
        <v>329</v>
      </c>
      <c r="S107" t="s">
        <v>74</v>
      </c>
    </row>
    <row r="108" spans="5:19">
      <c r="E108" t="s">
        <v>319</v>
      </c>
      <c r="F108" t="str">
        <f>值集数据!$E$22</f>
        <v>hpfm_lov-141</v>
      </c>
      <c r="G108" t="s">
        <v>131</v>
      </c>
      <c r="H108" t="s">
        <v>405</v>
      </c>
      <c r="I108" t="s">
        <v>405</v>
      </c>
      <c r="J108" t="s">
        <v>405</v>
      </c>
      <c r="M108" t="s">
        <v>73</v>
      </c>
      <c r="O108" t="s">
        <v>370</v>
      </c>
      <c r="S108" t="s">
        <v>74</v>
      </c>
    </row>
    <row r="109" spans="5:19">
      <c r="E109" t="s">
        <v>319</v>
      </c>
      <c r="F109" t="str">
        <f>值集数据!$E$22</f>
        <v>hpfm_lov-141</v>
      </c>
      <c r="G109" t="s">
        <v>131</v>
      </c>
      <c r="H109" t="s">
        <v>406</v>
      </c>
      <c r="I109" t="s">
        <v>406</v>
      </c>
      <c r="J109" t="s">
        <v>406</v>
      </c>
      <c r="M109" t="s">
        <v>73</v>
      </c>
      <c r="O109" t="s">
        <v>371</v>
      </c>
      <c r="S109" t="s">
        <v>74</v>
      </c>
    </row>
    <row r="110" spans="5:19">
      <c r="E110" t="s">
        <v>319</v>
      </c>
      <c r="F110" t="str">
        <f>值集数据!$E$22</f>
        <v>hpfm_lov-141</v>
      </c>
      <c r="G110" t="s">
        <v>131</v>
      </c>
      <c r="H110" t="s">
        <v>407</v>
      </c>
      <c r="I110" t="s">
        <v>407</v>
      </c>
      <c r="J110" t="s">
        <v>407</v>
      </c>
      <c r="M110" t="s">
        <v>73</v>
      </c>
      <c r="O110" t="s">
        <v>372</v>
      </c>
      <c r="S110" t="s">
        <v>74</v>
      </c>
    </row>
    <row r="111" spans="5:19">
      <c r="E111" t="s">
        <v>319</v>
      </c>
      <c r="F111" t="str">
        <f>值集数据!$E$22</f>
        <v>hpfm_lov-141</v>
      </c>
      <c r="G111" t="s">
        <v>131</v>
      </c>
      <c r="H111" t="s">
        <v>408</v>
      </c>
      <c r="I111" t="s">
        <v>408</v>
      </c>
      <c r="J111" t="s">
        <v>408</v>
      </c>
      <c r="M111" t="s">
        <v>73</v>
      </c>
      <c r="O111" t="s">
        <v>409</v>
      </c>
      <c r="S111" t="s">
        <v>74</v>
      </c>
    </row>
    <row r="112" spans="5:19">
      <c r="E112" t="s">
        <v>319</v>
      </c>
      <c r="F112" t="str">
        <f>值集数据!$E$22</f>
        <v>hpfm_lov-141</v>
      </c>
      <c r="G112" t="s">
        <v>131</v>
      </c>
      <c r="H112" t="s">
        <v>410</v>
      </c>
      <c r="I112" t="s">
        <v>410</v>
      </c>
      <c r="J112" t="s">
        <v>410</v>
      </c>
      <c r="M112" t="s">
        <v>73</v>
      </c>
      <c r="O112" t="s">
        <v>411</v>
      </c>
      <c r="S112" t="s">
        <v>74</v>
      </c>
    </row>
    <row r="113" spans="5:19">
      <c r="E113" t="s">
        <v>319</v>
      </c>
      <c r="F113" t="str">
        <f>值集数据!$E$22</f>
        <v>hpfm_lov-141</v>
      </c>
      <c r="G113" t="s">
        <v>131</v>
      </c>
      <c r="H113" t="s">
        <v>412</v>
      </c>
      <c r="I113" t="s">
        <v>412</v>
      </c>
      <c r="J113" t="s">
        <v>412</v>
      </c>
      <c r="M113" t="s">
        <v>73</v>
      </c>
      <c r="O113" t="s">
        <v>321</v>
      </c>
      <c r="S113" t="s">
        <v>74</v>
      </c>
    </row>
    <row r="114" spans="5:19">
      <c r="E114" t="s">
        <v>319</v>
      </c>
      <c r="F114" t="str">
        <f>值集数据!$E$22</f>
        <v>hpfm_lov-141</v>
      </c>
      <c r="G114" t="s">
        <v>131</v>
      </c>
      <c r="H114" t="s">
        <v>413</v>
      </c>
      <c r="I114" t="s">
        <v>413</v>
      </c>
      <c r="J114" t="s">
        <v>413</v>
      </c>
      <c r="M114" t="s">
        <v>73</v>
      </c>
      <c r="O114" t="s">
        <v>414</v>
      </c>
      <c r="S114" t="s">
        <v>74</v>
      </c>
    </row>
    <row r="115" spans="5:19">
      <c r="E115" t="s">
        <v>319</v>
      </c>
      <c r="F115" t="str">
        <f>值集数据!$E$22</f>
        <v>hpfm_lov-141</v>
      </c>
      <c r="G115" t="s">
        <v>131</v>
      </c>
      <c r="H115" t="s">
        <v>415</v>
      </c>
      <c r="I115" t="s">
        <v>415</v>
      </c>
      <c r="J115" t="s">
        <v>415</v>
      </c>
      <c r="M115" t="s">
        <v>73</v>
      </c>
      <c r="O115" t="s">
        <v>416</v>
      </c>
      <c r="S115" t="s">
        <v>74</v>
      </c>
    </row>
    <row r="116" spans="5:19">
      <c r="E116" t="s">
        <v>319</v>
      </c>
      <c r="F116" t="str">
        <f>值集数据!$E$23</f>
        <v>hpfm_lov-143</v>
      </c>
      <c r="G116" t="s">
        <v>134</v>
      </c>
      <c r="H116" t="s">
        <v>352</v>
      </c>
      <c r="I116" t="s">
        <v>352</v>
      </c>
      <c r="J116" t="s">
        <v>352</v>
      </c>
      <c r="M116" t="s">
        <v>73</v>
      </c>
      <c r="O116" t="s">
        <v>74</v>
      </c>
      <c r="S116" t="s">
        <v>74</v>
      </c>
    </row>
    <row r="117" spans="5:19">
      <c r="E117" t="s">
        <v>319</v>
      </c>
      <c r="F117" t="str">
        <f>值集数据!$E$23</f>
        <v>hpfm_lov-143</v>
      </c>
      <c r="G117" t="s">
        <v>134</v>
      </c>
      <c r="H117" t="s">
        <v>417</v>
      </c>
      <c r="I117" t="s">
        <v>380</v>
      </c>
      <c r="J117" t="s">
        <v>380</v>
      </c>
      <c r="M117" t="s">
        <v>73</v>
      </c>
      <c r="O117" t="s">
        <v>320</v>
      </c>
      <c r="S117" t="s">
        <v>74</v>
      </c>
    </row>
    <row r="118" spans="5:19">
      <c r="E118" t="s">
        <v>319</v>
      </c>
      <c r="F118" t="str">
        <f>值集数据!$E$23</f>
        <v>hpfm_lov-143</v>
      </c>
      <c r="G118" t="s">
        <v>134</v>
      </c>
      <c r="H118" t="s">
        <v>418</v>
      </c>
      <c r="I118" t="s">
        <v>418</v>
      </c>
      <c r="J118" t="s">
        <v>418</v>
      </c>
      <c r="M118" t="s">
        <v>73</v>
      </c>
      <c r="O118" t="s">
        <v>328</v>
      </c>
      <c r="S118" t="s">
        <v>74</v>
      </c>
    </row>
    <row r="119" spans="5:19">
      <c r="E119" t="s">
        <v>319</v>
      </c>
      <c r="F119" t="str">
        <f>值集数据!$E$23</f>
        <v>hpfm_lov-143</v>
      </c>
      <c r="G119" t="s">
        <v>134</v>
      </c>
      <c r="H119" t="s">
        <v>419</v>
      </c>
      <c r="I119" t="s">
        <v>419</v>
      </c>
      <c r="J119" t="s">
        <v>419</v>
      </c>
      <c r="M119" t="s">
        <v>73</v>
      </c>
      <c r="O119" t="s">
        <v>329</v>
      </c>
      <c r="S119" t="s">
        <v>74</v>
      </c>
    </row>
    <row r="120" spans="5:19">
      <c r="E120" t="s">
        <v>319</v>
      </c>
      <c r="F120" t="str">
        <f>值集数据!$E$23</f>
        <v>hpfm_lov-143</v>
      </c>
      <c r="G120" t="s">
        <v>134</v>
      </c>
      <c r="H120" t="s">
        <v>378</v>
      </c>
      <c r="I120" t="s">
        <v>378</v>
      </c>
      <c r="J120" t="s">
        <v>378</v>
      </c>
      <c r="M120" t="s">
        <v>73</v>
      </c>
      <c r="O120" t="s">
        <v>370</v>
      </c>
      <c r="S120" t="s">
        <v>74</v>
      </c>
    </row>
    <row r="121" spans="5:19">
      <c r="E121" t="s">
        <v>319</v>
      </c>
      <c r="F121" t="str">
        <f>值集数据!$E$23</f>
        <v>hpfm_lov-143</v>
      </c>
      <c r="G121" t="s">
        <v>134</v>
      </c>
      <c r="H121" t="s">
        <v>420</v>
      </c>
      <c r="I121" t="s">
        <v>420</v>
      </c>
      <c r="J121" t="s">
        <v>420</v>
      </c>
      <c r="M121" t="s">
        <v>73</v>
      </c>
      <c r="O121" t="s">
        <v>371</v>
      </c>
      <c r="S121" t="s">
        <v>74</v>
      </c>
    </row>
    <row r="122" spans="5:19">
      <c r="E122" t="s">
        <v>319</v>
      </c>
      <c r="F122" t="str">
        <f>值集数据!$E$23</f>
        <v>hpfm_lov-143</v>
      </c>
      <c r="G122" t="s">
        <v>134</v>
      </c>
      <c r="H122" t="s">
        <v>421</v>
      </c>
      <c r="I122" t="s">
        <v>421</v>
      </c>
      <c r="J122" t="s">
        <v>421</v>
      </c>
      <c r="M122" t="s">
        <v>73</v>
      </c>
      <c r="O122" t="s">
        <v>372</v>
      </c>
      <c r="S122" t="s">
        <v>74</v>
      </c>
    </row>
    <row r="123" spans="5:19">
      <c r="E123" t="s">
        <v>319</v>
      </c>
      <c r="F123" t="str">
        <f>值集数据!$E$23</f>
        <v>hpfm_lov-143</v>
      </c>
      <c r="G123" t="s">
        <v>134</v>
      </c>
      <c r="H123" t="s">
        <v>422</v>
      </c>
      <c r="I123" t="s">
        <v>422</v>
      </c>
      <c r="J123" t="s">
        <v>422</v>
      </c>
      <c r="M123" t="s">
        <v>73</v>
      </c>
      <c r="O123" t="s">
        <v>409</v>
      </c>
      <c r="S123" t="s">
        <v>74</v>
      </c>
    </row>
    <row r="124" spans="5:19">
      <c r="E124" t="s">
        <v>319</v>
      </c>
      <c r="F124" t="str">
        <f>值集数据!$E$23</f>
        <v>hpfm_lov-143</v>
      </c>
      <c r="G124" t="s">
        <v>134</v>
      </c>
      <c r="H124" t="s">
        <v>423</v>
      </c>
      <c r="I124" t="s">
        <v>423</v>
      </c>
      <c r="J124" t="s">
        <v>423</v>
      </c>
      <c r="M124" t="s">
        <v>73</v>
      </c>
      <c r="O124" t="s">
        <v>411</v>
      </c>
      <c r="S124" t="s">
        <v>74</v>
      </c>
    </row>
    <row r="125" spans="5:19">
      <c r="E125" t="s">
        <v>319</v>
      </c>
      <c r="F125" t="str">
        <f>值集数据!$E$23</f>
        <v>hpfm_lov-143</v>
      </c>
      <c r="G125" t="s">
        <v>134</v>
      </c>
      <c r="H125" t="s">
        <v>424</v>
      </c>
      <c r="I125" t="s">
        <v>424</v>
      </c>
      <c r="J125" t="s">
        <v>424</v>
      </c>
      <c r="M125" t="s">
        <v>73</v>
      </c>
      <c r="O125" t="s">
        <v>321</v>
      </c>
      <c r="S125" t="s">
        <v>74</v>
      </c>
    </row>
    <row r="126" spans="5:19">
      <c r="E126" t="s">
        <v>319</v>
      </c>
      <c r="F126" t="str">
        <f>值集数据!$E$23</f>
        <v>hpfm_lov-143</v>
      </c>
      <c r="G126" t="s">
        <v>134</v>
      </c>
      <c r="H126" t="s">
        <v>382</v>
      </c>
      <c r="I126" t="s">
        <v>382</v>
      </c>
      <c r="J126" t="s">
        <v>382</v>
      </c>
      <c r="M126" t="s">
        <v>73</v>
      </c>
      <c r="O126" t="s">
        <v>414</v>
      </c>
      <c r="S126" t="s">
        <v>74</v>
      </c>
    </row>
    <row r="127" spans="5:19">
      <c r="E127" t="s">
        <v>319</v>
      </c>
      <c r="F127" t="str">
        <f>值集数据!$E$24</f>
        <v>hpfm_lov-144</v>
      </c>
      <c r="G127" t="s">
        <v>137</v>
      </c>
      <c r="H127" t="s">
        <v>424</v>
      </c>
      <c r="I127" t="s">
        <v>424</v>
      </c>
      <c r="J127" t="s">
        <v>424</v>
      </c>
      <c r="M127" t="s">
        <v>73</v>
      </c>
      <c r="O127" t="s">
        <v>74</v>
      </c>
      <c r="S127" t="s">
        <v>74</v>
      </c>
    </row>
    <row r="128" spans="5:19">
      <c r="E128" t="s">
        <v>319</v>
      </c>
      <c r="F128" t="str">
        <f>值集数据!$E$24</f>
        <v>hpfm_lov-144</v>
      </c>
      <c r="G128" t="s">
        <v>137</v>
      </c>
      <c r="H128" t="s">
        <v>425</v>
      </c>
      <c r="I128" t="s">
        <v>425</v>
      </c>
      <c r="J128" t="s">
        <v>425</v>
      </c>
      <c r="M128" t="s">
        <v>73</v>
      </c>
      <c r="O128" t="s">
        <v>329</v>
      </c>
      <c r="S128" t="s">
        <v>74</v>
      </c>
    </row>
    <row r="129" spans="5:19">
      <c r="E129" t="s">
        <v>319</v>
      </c>
      <c r="F129" t="str">
        <f>值集数据!$E$24</f>
        <v>hpfm_lov-144</v>
      </c>
      <c r="G129" t="s">
        <v>137</v>
      </c>
      <c r="H129" t="s">
        <v>426</v>
      </c>
      <c r="I129" t="s">
        <v>426</v>
      </c>
      <c r="J129" t="s">
        <v>426</v>
      </c>
      <c r="M129" t="s">
        <v>73</v>
      </c>
      <c r="O129" t="s">
        <v>370</v>
      </c>
      <c r="S129" t="s">
        <v>74</v>
      </c>
    </row>
    <row r="130" spans="5:19">
      <c r="E130" t="s">
        <v>319</v>
      </c>
      <c r="F130" t="str">
        <f>值集数据!$E$18</f>
        <v>hpfm_lov-137</v>
      </c>
      <c r="G130" t="s">
        <v>119</v>
      </c>
      <c r="H130" t="s">
        <v>427</v>
      </c>
      <c r="I130" t="s">
        <v>427</v>
      </c>
      <c r="J130" t="s">
        <v>427</v>
      </c>
      <c r="M130" t="s">
        <v>73</v>
      </c>
      <c r="O130" t="s">
        <v>370</v>
      </c>
      <c r="S130" t="s">
        <v>74</v>
      </c>
    </row>
    <row r="131" spans="5:19">
      <c r="E131" t="s">
        <v>319</v>
      </c>
      <c r="F131" t="str">
        <f>值集数据!$E$25</f>
        <v>hpfm_lov-147</v>
      </c>
      <c r="G131" t="s">
        <v>140</v>
      </c>
      <c r="H131" t="s">
        <v>428</v>
      </c>
      <c r="I131" t="s">
        <v>396</v>
      </c>
      <c r="J131" t="s">
        <v>428</v>
      </c>
      <c r="M131" t="s">
        <v>73</v>
      </c>
      <c r="O131" t="s">
        <v>74</v>
      </c>
      <c r="S131" t="s">
        <v>74</v>
      </c>
    </row>
    <row r="132" spans="5:19">
      <c r="E132" t="s">
        <v>319</v>
      </c>
      <c r="F132" t="str">
        <f>值集数据!$E$25</f>
        <v>hpfm_lov-147</v>
      </c>
      <c r="G132" t="s">
        <v>140</v>
      </c>
      <c r="H132" t="s">
        <v>429</v>
      </c>
      <c r="I132" t="s">
        <v>394</v>
      </c>
      <c r="J132" t="s">
        <v>429</v>
      </c>
      <c r="M132" t="s">
        <v>73</v>
      </c>
      <c r="O132" t="s">
        <v>320</v>
      </c>
      <c r="S132" t="s">
        <v>74</v>
      </c>
    </row>
    <row r="133" spans="5:19">
      <c r="E133" t="s">
        <v>319</v>
      </c>
      <c r="F133" t="str">
        <f>值集数据!$E$26</f>
        <v>hpfm_lov-148</v>
      </c>
      <c r="G133" t="s">
        <v>143</v>
      </c>
      <c r="H133" t="s">
        <v>344</v>
      </c>
      <c r="I133" t="s">
        <v>430</v>
      </c>
      <c r="J133" t="s">
        <v>430</v>
      </c>
      <c r="M133" t="s">
        <v>73</v>
      </c>
      <c r="O133" t="s">
        <v>74</v>
      </c>
      <c r="S133" t="s">
        <v>74</v>
      </c>
    </row>
    <row r="134" spans="5:19">
      <c r="E134" t="s">
        <v>319</v>
      </c>
      <c r="F134" t="str">
        <f>值集数据!$E$26</f>
        <v>hpfm_lov-148</v>
      </c>
      <c r="G134" t="s">
        <v>143</v>
      </c>
      <c r="H134" t="s">
        <v>375</v>
      </c>
      <c r="I134" t="s">
        <v>431</v>
      </c>
      <c r="J134" t="s">
        <v>431</v>
      </c>
      <c r="M134" t="s">
        <v>73</v>
      </c>
      <c r="O134" t="s">
        <v>320</v>
      </c>
      <c r="S134" t="s">
        <v>74</v>
      </c>
    </row>
    <row r="135" spans="5:19">
      <c r="E135" t="s">
        <v>319</v>
      </c>
      <c r="F135" t="str">
        <f>值集数据!$E$26</f>
        <v>hpfm_lov-148</v>
      </c>
      <c r="G135" t="s">
        <v>143</v>
      </c>
      <c r="H135" t="s">
        <v>326</v>
      </c>
      <c r="I135" t="s">
        <v>327</v>
      </c>
      <c r="J135" t="s">
        <v>327</v>
      </c>
      <c r="M135" t="s">
        <v>73</v>
      </c>
      <c r="O135" t="s">
        <v>328</v>
      </c>
      <c r="S135" t="s">
        <v>74</v>
      </c>
    </row>
    <row r="136" spans="5:19">
      <c r="E136" t="s">
        <v>319</v>
      </c>
      <c r="F136" t="str">
        <f>值集数据!$E$27</f>
        <v>hpfm_lov-149</v>
      </c>
      <c r="G136" t="s">
        <v>146</v>
      </c>
      <c r="H136" t="s">
        <v>432</v>
      </c>
      <c r="I136" t="s">
        <v>433</v>
      </c>
      <c r="J136" t="s">
        <v>433</v>
      </c>
      <c r="M136" t="s">
        <v>73</v>
      </c>
      <c r="O136" t="s">
        <v>74</v>
      </c>
      <c r="S136" t="s">
        <v>74</v>
      </c>
    </row>
    <row r="137" spans="5:19">
      <c r="E137" t="s">
        <v>319</v>
      </c>
      <c r="F137" t="str">
        <f>值集数据!$E$27</f>
        <v>hpfm_lov-149</v>
      </c>
      <c r="G137" t="s">
        <v>146</v>
      </c>
      <c r="H137" t="s">
        <v>434</v>
      </c>
      <c r="I137" t="s">
        <v>435</v>
      </c>
      <c r="J137" t="s">
        <v>435</v>
      </c>
      <c r="M137" t="s">
        <v>73</v>
      </c>
      <c r="O137" t="s">
        <v>320</v>
      </c>
      <c r="S137" t="s">
        <v>74</v>
      </c>
    </row>
    <row r="138" spans="5:19">
      <c r="E138" t="s">
        <v>319</v>
      </c>
      <c r="F138" t="str">
        <f>值集数据!$E$27</f>
        <v>hpfm_lov-149</v>
      </c>
      <c r="G138" t="s">
        <v>146</v>
      </c>
      <c r="H138" t="s">
        <v>436</v>
      </c>
      <c r="I138" t="s">
        <v>437</v>
      </c>
      <c r="J138" t="s">
        <v>437</v>
      </c>
      <c r="M138" t="s">
        <v>73</v>
      </c>
      <c r="O138" t="s">
        <v>328</v>
      </c>
      <c r="S138" t="s">
        <v>74</v>
      </c>
    </row>
    <row r="139" spans="5:19">
      <c r="E139" t="s">
        <v>319</v>
      </c>
      <c r="F139" t="str">
        <f>值集数据!$E$27</f>
        <v>hpfm_lov-149</v>
      </c>
      <c r="G139" t="s">
        <v>146</v>
      </c>
      <c r="H139" t="s">
        <v>363</v>
      </c>
      <c r="I139" t="s">
        <v>364</v>
      </c>
      <c r="J139" t="s">
        <v>364</v>
      </c>
      <c r="M139" t="s">
        <v>73</v>
      </c>
      <c r="O139" t="s">
        <v>329</v>
      </c>
      <c r="S139" t="s">
        <v>74</v>
      </c>
    </row>
    <row r="140" spans="5:19">
      <c r="E140" t="s">
        <v>319</v>
      </c>
      <c r="F140" t="str">
        <f>值集数据!$E$27</f>
        <v>hpfm_lov-149</v>
      </c>
      <c r="G140" t="s">
        <v>146</v>
      </c>
      <c r="H140" t="s">
        <v>365</v>
      </c>
      <c r="I140" t="s">
        <v>366</v>
      </c>
      <c r="J140" t="s">
        <v>366</v>
      </c>
      <c r="M140" t="s">
        <v>73</v>
      </c>
      <c r="O140" t="s">
        <v>370</v>
      </c>
      <c r="S140" t="s">
        <v>74</v>
      </c>
    </row>
    <row r="141" spans="5:19">
      <c r="E141" t="s">
        <v>319</v>
      </c>
      <c r="F141" t="str">
        <f>值集数据!$E$27</f>
        <v>hpfm_lov-149</v>
      </c>
      <c r="G141" t="s">
        <v>146</v>
      </c>
      <c r="H141" t="s">
        <v>367</v>
      </c>
      <c r="I141" t="s">
        <v>368</v>
      </c>
      <c r="J141" t="s">
        <v>368</v>
      </c>
      <c r="M141" t="s">
        <v>73</v>
      </c>
      <c r="O141" t="s">
        <v>371</v>
      </c>
      <c r="S141" t="s">
        <v>74</v>
      </c>
    </row>
    <row r="142" spans="5:19">
      <c r="E142" t="s">
        <v>319</v>
      </c>
      <c r="F142" t="str">
        <f>值集数据!$E$28</f>
        <v>hpfm_lov-150</v>
      </c>
      <c r="G142" t="s">
        <v>149</v>
      </c>
      <c r="H142" t="s">
        <v>438</v>
      </c>
      <c r="I142" t="s">
        <v>439</v>
      </c>
      <c r="J142" t="s">
        <v>439</v>
      </c>
      <c r="M142" t="s">
        <v>73</v>
      </c>
      <c r="O142" t="s">
        <v>74</v>
      </c>
      <c r="S142" t="s">
        <v>74</v>
      </c>
    </row>
    <row r="143" spans="5:19">
      <c r="E143" t="s">
        <v>319</v>
      </c>
      <c r="F143" t="str">
        <f>值集数据!$E$28</f>
        <v>hpfm_lov-150</v>
      </c>
      <c r="G143" t="s">
        <v>149</v>
      </c>
      <c r="H143" t="s">
        <v>440</v>
      </c>
      <c r="I143" t="s">
        <v>441</v>
      </c>
      <c r="J143" t="s">
        <v>441</v>
      </c>
      <c r="M143" t="s">
        <v>73</v>
      </c>
      <c r="O143" t="s">
        <v>320</v>
      </c>
      <c r="S143" t="s">
        <v>74</v>
      </c>
    </row>
    <row r="144" spans="5:19">
      <c r="E144" t="s">
        <v>319</v>
      </c>
      <c r="F144" t="str">
        <f>值集数据!$E$30</f>
        <v>hpfm_lov-152</v>
      </c>
      <c r="G144" t="s">
        <v>158</v>
      </c>
      <c r="H144" t="s">
        <v>442</v>
      </c>
      <c r="I144" t="s">
        <v>443</v>
      </c>
      <c r="J144" t="s">
        <v>443</v>
      </c>
      <c r="M144" t="s">
        <v>73</v>
      </c>
      <c r="O144" t="s">
        <v>74</v>
      </c>
      <c r="S144" t="s">
        <v>74</v>
      </c>
    </row>
    <row r="145" spans="5:19">
      <c r="E145" t="s">
        <v>319</v>
      </c>
      <c r="F145" t="str">
        <f>值集数据!$E$30</f>
        <v>hpfm_lov-152</v>
      </c>
      <c r="G145" t="s">
        <v>158</v>
      </c>
      <c r="H145" t="s">
        <v>444</v>
      </c>
      <c r="I145" t="s">
        <v>445</v>
      </c>
      <c r="J145" t="s">
        <v>445</v>
      </c>
      <c r="M145" t="s">
        <v>73</v>
      </c>
      <c r="O145" t="s">
        <v>74</v>
      </c>
      <c r="S145" t="s">
        <v>74</v>
      </c>
    </row>
    <row r="146" spans="5:19">
      <c r="E146" t="s">
        <v>319</v>
      </c>
      <c r="F146" t="str">
        <f>值集数据!$E$30</f>
        <v>hpfm_lov-152</v>
      </c>
      <c r="G146" t="s">
        <v>158</v>
      </c>
      <c r="H146" t="s">
        <v>446</v>
      </c>
      <c r="I146" t="s">
        <v>447</v>
      </c>
      <c r="J146" t="s">
        <v>447</v>
      </c>
      <c r="M146" t="s">
        <v>73</v>
      </c>
      <c r="O146" t="s">
        <v>320</v>
      </c>
      <c r="S146" t="s">
        <v>74</v>
      </c>
    </row>
    <row r="147" spans="5:19">
      <c r="E147" t="s">
        <v>319</v>
      </c>
      <c r="F147" t="str">
        <f>值集数据!$E$31</f>
        <v>hpfm_lov-153</v>
      </c>
      <c r="G147" t="s">
        <v>161</v>
      </c>
      <c r="H147" t="s">
        <v>448</v>
      </c>
      <c r="I147" t="s">
        <v>448</v>
      </c>
      <c r="J147" t="s">
        <v>448</v>
      </c>
      <c r="M147" t="s">
        <v>73</v>
      </c>
      <c r="O147" t="s">
        <v>74</v>
      </c>
      <c r="S147" t="s">
        <v>74</v>
      </c>
    </row>
    <row r="148" spans="5:19">
      <c r="E148" t="s">
        <v>319</v>
      </c>
      <c r="F148" t="str">
        <f>值集数据!$E$31</f>
        <v>hpfm_lov-153</v>
      </c>
      <c r="G148" t="s">
        <v>161</v>
      </c>
      <c r="H148" t="s">
        <v>449</v>
      </c>
      <c r="I148" t="s">
        <v>449</v>
      </c>
      <c r="J148" t="s">
        <v>449</v>
      </c>
      <c r="M148" t="s">
        <v>73</v>
      </c>
      <c r="O148" t="s">
        <v>320</v>
      </c>
      <c r="S148" t="s">
        <v>74</v>
      </c>
    </row>
    <row r="149" spans="5:19">
      <c r="E149" t="s">
        <v>319</v>
      </c>
      <c r="F149" t="str">
        <f>值集数据!$E$31</f>
        <v>hpfm_lov-153</v>
      </c>
      <c r="G149" t="s">
        <v>161</v>
      </c>
      <c r="H149" t="s">
        <v>450</v>
      </c>
      <c r="I149" t="s">
        <v>450</v>
      </c>
      <c r="J149" t="s">
        <v>450</v>
      </c>
      <c r="M149" t="s">
        <v>73</v>
      </c>
      <c r="O149" t="s">
        <v>328</v>
      </c>
      <c r="S149" t="s">
        <v>74</v>
      </c>
    </row>
    <row r="150" spans="5:19">
      <c r="E150" t="s">
        <v>319</v>
      </c>
      <c r="F150" t="str">
        <f>值集数据!$E$33</f>
        <v>hpfm_lov-156</v>
      </c>
      <c r="G150" t="s">
        <v>169</v>
      </c>
      <c r="H150" t="s">
        <v>451</v>
      </c>
      <c r="I150" t="s">
        <v>452</v>
      </c>
      <c r="J150" t="s">
        <v>452</v>
      </c>
      <c r="M150" t="s">
        <v>73</v>
      </c>
      <c r="O150" t="s">
        <v>320</v>
      </c>
      <c r="S150" t="s">
        <v>74</v>
      </c>
    </row>
    <row r="151" spans="5:19">
      <c r="E151" t="s">
        <v>319</v>
      </c>
      <c r="F151" t="str">
        <f>值集数据!$E$33</f>
        <v>hpfm_lov-156</v>
      </c>
      <c r="G151" t="s">
        <v>169</v>
      </c>
      <c r="H151" t="s">
        <v>326</v>
      </c>
      <c r="I151" t="s">
        <v>330</v>
      </c>
      <c r="J151" t="s">
        <v>330</v>
      </c>
      <c r="M151" t="s">
        <v>73</v>
      </c>
      <c r="O151" t="s">
        <v>328</v>
      </c>
      <c r="S151" t="s">
        <v>74</v>
      </c>
    </row>
    <row r="152" spans="5:19">
      <c r="E152" t="s">
        <v>319</v>
      </c>
      <c r="F152" t="str">
        <f>值集数据!$E$33</f>
        <v>hpfm_lov-156</v>
      </c>
      <c r="G152" t="s">
        <v>169</v>
      </c>
      <c r="H152" t="s">
        <v>375</v>
      </c>
      <c r="I152" t="s">
        <v>453</v>
      </c>
      <c r="J152" t="s">
        <v>453</v>
      </c>
      <c r="M152" t="s">
        <v>73</v>
      </c>
      <c r="O152" t="s">
        <v>329</v>
      </c>
      <c r="S152" t="s">
        <v>74</v>
      </c>
    </row>
    <row r="153" spans="5:19">
      <c r="E153" t="s">
        <v>319</v>
      </c>
      <c r="F153" t="str">
        <f>值集数据!$E$34</f>
        <v>hpfm_lov-157</v>
      </c>
      <c r="G153" t="s">
        <v>172</v>
      </c>
      <c r="H153" t="s">
        <v>454</v>
      </c>
      <c r="I153" t="s">
        <v>455</v>
      </c>
      <c r="J153" t="s">
        <v>456</v>
      </c>
      <c r="M153" t="s">
        <v>73</v>
      </c>
      <c r="O153" t="s">
        <v>321</v>
      </c>
      <c r="S153" t="s">
        <v>73</v>
      </c>
    </row>
    <row r="154" spans="5:19">
      <c r="E154" t="s">
        <v>319</v>
      </c>
      <c r="F154" t="str">
        <f>值集数据!$E$34</f>
        <v>hpfm_lov-157</v>
      </c>
      <c r="G154" t="s">
        <v>172</v>
      </c>
      <c r="H154" t="s">
        <v>444</v>
      </c>
      <c r="I154" t="s">
        <v>445</v>
      </c>
      <c r="J154" t="s">
        <v>445</v>
      </c>
      <c r="M154" t="s">
        <v>73</v>
      </c>
      <c r="O154" t="s">
        <v>322</v>
      </c>
      <c r="S154" t="s">
        <v>74</v>
      </c>
    </row>
    <row r="155" spans="5:19">
      <c r="E155" t="s">
        <v>319</v>
      </c>
      <c r="F155" t="str">
        <f>值集数据!$E$34</f>
        <v>hpfm_lov-157</v>
      </c>
      <c r="G155" t="s">
        <v>172</v>
      </c>
      <c r="H155" s="54" t="s">
        <v>815</v>
      </c>
      <c r="I155" s="54" t="s">
        <v>816</v>
      </c>
      <c r="J155" s="54" t="s">
        <v>817</v>
      </c>
      <c r="M155" t="s">
        <v>73</v>
      </c>
      <c r="O155" t="s">
        <v>323</v>
      </c>
      <c r="S155" t="s">
        <v>74</v>
      </c>
    </row>
    <row r="156" spans="5:19">
      <c r="E156" t="s">
        <v>319</v>
      </c>
      <c r="F156" t="str">
        <f>值集数据!$E$22</f>
        <v>hpfm_lov-141</v>
      </c>
      <c r="G156" t="s">
        <v>131</v>
      </c>
      <c r="H156" t="s">
        <v>459</v>
      </c>
      <c r="I156" t="s">
        <v>460</v>
      </c>
      <c r="J156" t="s">
        <v>460</v>
      </c>
      <c r="M156" t="s">
        <v>73</v>
      </c>
      <c r="O156" t="s">
        <v>461</v>
      </c>
      <c r="S156" t="s">
        <v>74</v>
      </c>
    </row>
    <row r="157" spans="5:19">
      <c r="E157" t="s">
        <v>319</v>
      </c>
      <c r="F157" t="str">
        <f>值集数据!$E$22</f>
        <v>hpfm_lov-141</v>
      </c>
      <c r="G157" t="s">
        <v>131</v>
      </c>
      <c r="H157" t="s">
        <v>462</v>
      </c>
      <c r="I157" t="s">
        <v>463</v>
      </c>
      <c r="J157" t="s">
        <v>463</v>
      </c>
      <c r="M157" t="s">
        <v>73</v>
      </c>
      <c r="O157" t="s">
        <v>464</v>
      </c>
      <c r="S157" t="s">
        <v>74</v>
      </c>
    </row>
    <row r="158" spans="5:19">
      <c r="E158" t="s">
        <v>319</v>
      </c>
      <c r="F158" t="str">
        <f>值集数据!$E$33</f>
        <v>hpfm_lov-156</v>
      </c>
      <c r="G158" t="s">
        <v>169</v>
      </c>
      <c r="H158" t="s">
        <v>344</v>
      </c>
      <c r="I158" t="s">
        <v>467</v>
      </c>
      <c r="J158" t="s">
        <v>467</v>
      </c>
      <c r="M158" t="s">
        <v>73</v>
      </c>
      <c r="O158" t="s">
        <v>74</v>
      </c>
      <c r="S158" t="s">
        <v>74</v>
      </c>
    </row>
    <row r="159" spans="5:19">
      <c r="E159" t="s">
        <v>319</v>
      </c>
      <c r="F159" t="str">
        <f>值集数据!$E$38</f>
        <v>hpfm_lov-189</v>
      </c>
      <c r="G159" t="s">
        <v>190</v>
      </c>
      <c r="H159" t="s">
        <v>477</v>
      </c>
      <c r="I159" t="s">
        <v>478</v>
      </c>
      <c r="J159" t="s">
        <v>478</v>
      </c>
      <c r="M159" t="s">
        <v>73</v>
      </c>
      <c r="O159" t="s">
        <v>321</v>
      </c>
      <c r="S159" t="s">
        <v>74</v>
      </c>
    </row>
    <row r="160" spans="5:19">
      <c r="E160" t="s">
        <v>319</v>
      </c>
      <c r="F160" t="str">
        <f>值集数据!$E$38</f>
        <v>hpfm_lov-189</v>
      </c>
      <c r="G160" t="s">
        <v>190</v>
      </c>
      <c r="H160" t="s">
        <v>479</v>
      </c>
      <c r="I160" t="s">
        <v>480</v>
      </c>
      <c r="J160" t="s">
        <v>480</v>
      </c>
      <c r="M160" t="s">
        <v>73</v>
      </c>
      <c r="O160" t="s">
        <v>322</v>
      </c>
      <c r="S160" t="s">
        <v>74</v>
      </c>
    </row>
    <row r="161" spans="5:19">
      <c r="E161" t="s">
        <v>319</v>
      </c>
      <c r="F161" t="str">
        <f>值集数据!$E$38</f>
        <v>hpfm_lov-189</v>
      </c>
      <c r="G161" t="s">
        <v>190</v>
      </c>
      <c r="H161" t="s">
        <v>481</v>
      </c>
      <c r="I161" t="s">
        <v>206</v>
      </c>
      <c r="J161" t="s">
        <v>206</v>
      </c>
      <c r="M161" t="s">
        <v>73</v>
      </c>
      <c r="O161" t="s">
        <v>323</v>
      </c>
      <c r="S161" t="s">
        <v>74</v>
      </c>
    </row>
    <row r="162" spans="5:19">
      <c r="E162" t="s">
        <v>319</v>
      </c>
      <c r="F162" t="str">
        <f>值集数据!$E$39</f>
        <v>hpfm_lov-190</v>
      </c>
      <c r="G162" t="s">
        <v>193</v>
      </c>
      <c r="H162" t="s">
        <v>341</v>
      </c>
      <c r="I162" t="s">
        <v>482</v>
      </c>
      <c r="J162" t="s">
        <v>482</v>
      </c>
      <c r="M162" t="s">
        <v>73</v>
      </c>
      <c r="O162" t="s">
        <v>321</v>
      </c>
      <c r="S162" t="s">
        <v>74</v>
      </c>
    </row>
    <row r="163" spans="5:19">
      <c r="E163" t="s">
        <v>319</v>
      </c>
      <c r="F163" t="str">
        <f>值集数据!$E$39</f>
        <v>hpfm_lov-190</v>
      </c>
      <c r="G163" t="s">
        <v>193</v>
      </c>
      <c r="H163" t="s">
        <v>483</v>
      </c>
      <c r="I163" t="s">
        <v>483</v>
      </c>
      <c r="J163" t="s">
        <v>483</v>
      </c>
      <c r="M163" t="s">
        <v>73</v>
      </c>
      <c r="O163" t="s">
        <v>322</v>
      </c>
      <c r="S163" t="s">
        <v>74</v>
      </c>
    </row>
    <row r="164" spans="5:19">
      <c r="E164" t="s">
        <v>319</v>
      </c>
      <c r="F164" t="str">
        <f>值集数据!$E$39</f>
        <v>hpfm_lov-190</v>
      </c>
      <c r="G164" t="s">
        <v>193</v>
      </c>
      <c r="H164" t="s">
        <v>484</v>
      </c>
      <c r="I164" t="s">
        <v>484</v>
      </c>
      <c r="J164" t="s">
        <v>484</v>
      </c>
      <c r="M164" t="s">
        <v>73</v>
      </c>
      <c r="O164" t="s">
        <v>323</v>
      </c>
      <c r="S164" t="s">
        <v>74</v>
      </c>
    </row>
    <row r="165" spans="5:19">
      <c r="E165" t="s">
        <v>319</v>
      </c>
      <c r="F165" t="str">
        <f>值集数据!$E$39</f>
        <v>hpfm_lov-190</v>
      </c>
      <c r="G165" t="s">
        <v>193</v>
      </c>
      <c r="H165" t="s">
        <v>485</v>
      </c>
      <c r="I165" t="s">
        <v>485</v>
      </c>
      <c r="J165" t="s">
        <v>485</v>
      </c>
      <c r="M165" t="s">
        <v>73</v>
      </c>
      <c r="O165" t="s">
        <v>324</v>
      </c>
      <c r="S165" t="s">
        <v>74</v>
      </c>
    </row>
    <row r="166" spans="5:19">
      <c r="E166" t="s">
        <v>319</v>
      </c>
      <c r="F166" t="str">
        <f>值集数据!$E$39</f>
        <v>hpfm_lov-190</v>
      </c>
      <c r="G166" t="s">
        <v>193</v>
      </c>
      <c r="H166" t="s">
        <v>486</v>
      </c>
      <c r="I166" t="s">
        <v>486</v>
      </c>
      <c r="J166" t="s">
        <v>486</v>
      </c>
      <c r="M166" t="s">
        <v>73</v>
      </c>
      <c r="O166" t="s">
        <v>325</v>
      </c>
      <c r="S166" t="s">
        <v>74</v>
      </c>
    </row>
    <row r="167" spans="5:19">
      <c r="E167" t="s">
        <v>319</v>
      </c>
      <c r="F167" t="str">
        <f>值集数据!$E$40</f>
        <v>hpfm_lov-191</v>
      </c>
      <c r="G167" t="s">
        <v>196</v>
      </c>
      <c r="H167" t="s">
        <v>487</v>
      </c>
      <c r="I167" t="s">
        <v>488</v>
      </c>
      <c r="J167" t="s">
        <v>488</v>
      </c>
      <c r="M167" t="s">
        <v>73</v>
      </c>
      <c r="O167" t="s">
        <v>321</v>
      </c>
      <c r="S167" t="s">
        <v>74</v>
      </c>
    </row>
    <row r="168" spans="5:19">
      <c r="E168" t="s">
        <v>319</v>
      </c>
      <c r="F168" t="str">
        <f>值集数据!$E$42</f>
        <v>hpfm_lov-194</v>
      </c>
      <c r="G168" t="s">
        <v>202</v>
      </c>
      <c r="H168" t="s">
        <v>489</v>
      </c>
      <c r="I168" t="s">
        <v>490</v>
      </c>
      <c r="J168" t="s">
        <v>490</v>
      </c>
      <c r="M168" t="s">
        <v>73</v>
      </c>
      <c r="O168" t="s">
        <v>321</v>
      </c>
      <c r="S168" t="s">
        <v>74</v>
      </c>
    </row>
    <row r="169" spans="5:19">
      <c r="E169" t="s">
        <v>319</v>
      </c>
      <c r="F169" t="str">
        <f>值集数据!$E$42</f>
        <v>hpfm_lov-194</v>
      </c>
      <c r="G169" t="s">
        <v>202</v>
      </c>
      <c r="H169" t="s">
        <v>491</v>
      </c>
      <c r="I169" t="s">
        <v>492</v>
      </c>
      <c r="J169" t="s">
        <v>492</v>
      </c>
      <c r="M169" t="s">
        <v>73</v>
      </c>
      <c r="O169" t="s">
        <v>322</v>
      </c>
      <c r="S169" t="s">
        <v>74</v>
      </c>
    </row>
    <row r="170" spans="5:19">
      <c r="E170" t="s">
        <v>319</v>
      </c>
      <c r="F170" t="str">
        <f>值集数据!$E$20</f>
        <v>hpfm_lov-139</v>
      </c>
      <c r="G170" t="s">
        <v>125</v>
      </c>
      <c r="H170" t="s">
        <v>470</v>
      </c>
      <c r="I170" t="s">
        <v>471</v>
      </c>
      <c r="J170" t="s">
        <v>470</v>
      </c>
      <c r="M170" t="s">
        <v>73</v>
      </c>
      <c r="O170" t="s">
        <v>329</v>
      </c>
      <c r="S170" t="s">
        <v>74</v>
      </c>
    </row>
    <row r="171" spans="5:19">
      <c r="E171" t="s">
        <v>319</v>
      </c>
      <c r="F171" t="str">
        <f>值集数据!$E$20</f>
        <v>hpfm_lov-139</v>
      </c>
      <c r="G171" t="s">
        <v>125</v>
      </c>
      <c r="H171" t="s">
        <v>493</v>
      </c>
      <c r="I171" t="s">
        <v>494</v>
      </c>
      <c r="J171" t="s">
        <v>493</v>
      </c>
      <c r="M171" t="s">
        <v>73</v>
      </c>
      <c r="O171" t="s">
        <v>370</v>
      </c>
      <c r="S171" t="s">
        <v>74</v>
      </c>
    </row>
    <row r="172" spans="5:19">
      <c r="E172" t="s">
        <v>319</v>
      </c>
      <c r="F172" t="str">
        <f>值集数据!$E$41</f>
        <v>hpfm_lov-192</v>
      </c>
      <c r="G172" t="s">
        <v>199</v>
      </c>
      <c r="H172" t="s">
        <v>495</v>
      </c>
      <c r="I172" t="s">
        <v>496</v>
      </c>
      <c r="J172" t="s">
        <v>496</v>
      </c>
      <c r="K172" t="s">
        <v>496</v>
      </c>
      <c r="L172" t="s">
        <v>496</v>
      </c>
      <c r="M172" t="s">
        <v>73</v>
      </c>
      <c r="O172" t="s">
        <v>322</v>
      </c>
      <c r="P172" t="s">
        <v>487</v>
      </c>
      <c r="S172" t="s">
        <v>74</v>
      </c>
    </row>
    <row r="173" spans="5:19">
      <c r="E173" t="s">
        <v>319</v>
      </c>
      <c r="F173" t="str">
        <f>值集数据!$E$40</f>
        <v>hpfm_lov-191</v>
      </c>
      <c r="G173" t="s">
        <v>196</v>
      </c>
      <c r="H173" t="s">
        <v>497</v>
      </c>
      <c r="I173" t="s">
        <v>498</v>
      </c>
      <c r="J173" t="s">
        <v>498</v>
      </c>
      <c r="M173" t="s">
        <v>73</v>
      </c>
      <c r="O173" t="s">
        <v>322</v>
      </c>
      <c r="S173" t="s">
        <v>74</v>
      </c>
    </row>
    <row r="174" spans="5:19">
      <c r="E174" t="s">
        <v>319</v>
      </c>
      <c r="F174" t="str">
        <f>值集数据!$E$41</f>
        <v>hpfm_lov-192</v>
      </c>
      <c r="G174" t="s">
        <v>199</v>
      </c>
      <c r="H174" t="s">
        <v>499</v>
      </c>
      <c r="I174" t="s">
        <v>500</v>
      </c>
      <c r="J174" t="s">
        <v>500</v>
      </c>
      <c r="M174" t="s">
        <v>73</v>
      </c>
      <c r="O174" t="s">
        <v>323</v>
      </c>
      <c r="P174" t="s">
        <v>487</v>
      </c>
      <c r="S174" t="s">
        <v>74</v>
      </c>
    </row>
    <row r="175" spans="5:19">
      <c r="E175" t="s">
        <v>319</v>
      </c>
      <c r="F175" t="str">
        <f>值集数据!$E$17</f>
        <v>hpfm_lov-50</v>
      </c>
      <c r="G175" t="s">
        <v>115</v>
      </c>
      <c r="H175" t="s">
        <v>341</v>
      </c>
      <c r="I175" t="s">
        <v>341</v>
      </c>
      <c r="J175" t="s">
        <v>341</v>
      </c>
      <c r="M175" t="s">
        <v>73</v>
      </c>
      <c r="O175" t="s">
        <v>321</v>
      </c>
      <c r="S175" t="s">
        <v>74</v>
      </c>
    </row>
    <row r="176" spans="5:19">
      <c r="E176" t="s">
        <v>319</v>
      </c>
      <c r="F176" t="str">
        <f>值集数据!$E$41</f>
        <v>hpfm_lov-192</v>
      </c>
      <c r="G176" t="s">
        <v>199</v>
      </c>
      <c r="H176" t="s">
        <v>501</v>
      </c>
      <c r="I176" t="s">
        <v>502</v>
      </c>
      <c r="J176" t="s">
        <v>502</v>
      </c>
      <c r="M176" t="s">
        <v>73</v>
      </c>
      <c r="O176" t="s">
        <v>321</v>
      </c>
      <c r="P176" t="s">
        <v>487</v>
      </c>
      <c r="S176" t="s">
        <v>74</v>
      </c>
    </row>
    <row r="177" spans="5:19">
      <c r="E177" t="s">
        <v>319</v>
      </c>
      <c r="F177" t="str">
        <f>值集数据!$E$41</f>
        <v>hpfm_lov-192</v>
      </c>
      <c r="G177" t="s">
        <v>199</v>
      </c>
      <c r="H177" t="s">
        <v>503</v>
      </c>
      <c r="I177" t="s">
        <v>504</v>
      </c>
      <c r="J177" t="s">
        <v>504</v>
      </c>
      <c r="M177" t="s">
        <v>73</v>
      </c>
      <c r="O177" t="s">
        <v>325</v>
      </c>
      <c r="P177" t="s">
        <v>487</v>
      </c>
      <c r="S177" t="s">
        <v>74</v>
      </c>
    </row>
    <row r="178" spans="5:19">
      <c r="E178" t="s">
        <v>319</v>
      </c>
      <c r="F178" t="str">
        <f>值集数据!$E$41</f>
        <v>hpfm_lov-192</v>
      </c>
      <c r="G178" t="s">
        <v>199</v>
      </c>
      <c r="H178" t="s">
        <v>505</v>
      </c>
      <c r="I178" t="s">
        <v>506</v>
      </c>
      <c r="J178" t="s">
        <v>506</v>
      </c>
      <c r="M178" t="s">
        <v>73</v>
      </c>
      <c r="O178" t="s">
        <v>333</v>
      </c>
      <c r="P178" t="s">
        <v>487</v>
      </c>
      <c r="S178" t="s">
        <v>74</v>
      </c>
    </row>
    <row r="179" spans="5:19">
      <c r="E179" t="s">
        <v>319</v>
      </c>
      <c r="F179" t="str">
        <f>值集数据!$E$41</f>
        <v>hpfm_lov-192</v>
      </c>
      <c r="G179" t="s">
        <v>199</v>
      </c>
      <c r="H179" t="s">
        <v>507</v>
      </c>
      <c r="I179" t="s">
        <v>508</v>
      </c>
      <c r="J179" t="s">
        <v>508</v>
      </c>
      <c r="M179" t="s">
        <v>73</v>
      </c>
      <c r="O179" t="s">
        <v>332</v>
      </c>
      <c r="P179" t="s">
        <v>487</v>
      </c>
      <c r="S179" t="s">
        <v>74</v>
      </c>
    </row>
    <row r="180" spans="5:19">
      <c r="E180" t="s">
        <v>319</v>
      </c>
      <c r="F180" t="str">
        <f>值集数据!$E$41</f>
        <v>hpfm_lov-192</v>
      </c>
      <c r="G180" t="s">
        <v>199</v>
      </c>
      <c r="H180" t="s">
        <v>509</v>
      </c>
      <c r="I180" t="s">
        <v>510</v>
      </c>
      <c r="J180" t="s">
        <v>510</v>
      </c>
      <c r="M180" t="s">
        <v>73</v>
      </c>
      <c r="O180" t="s">
        <v>334</v>
      </c>
      <c r="P180" t="s">
        <v>487</v>
      </c>
      <c r="S180" t="s">
        <v>74</v>
      </c>
    </row>
    <row r="181" spans="5:19">
      <c r="E181" t="s">
        <v>319</v>
      </c>
      <c r="F181" t="str">
        <f>值集数据!$E$41</f>
        <v>hpfm_lov-192</v>
      </c>
      <c r="G181" t="s">
        <v>199</v>
      </c>
      <c r="H181" t="s">
        <v>511</v>
      </c>
      <c r="I181" t="s">
        <v>512</v>
      </c>
      <c r="J181" t="s">
        <v>512</v>
      </c>
      <c r="M181" t="s">
        <v>73</v>
      </c>
      <c r="O181" t="s">
        <v>335</v>
      </c>
      <c r="P181" t="s">
        <v>487</v>
      </c>
      <c r="S181" t="s">
        <v>74</v>
      </c>
    </row>
    <row r="182" spans="5:19">
      <c r="E182" t="s">
        <v>319</v>
      </c>
      <c r="F182" t="str">
        <f>值集数据!$E$20</f>
        <v>hpfm_lov-139</v>
      </c>
      <c r="G182" t="s">
        <v>125</v>
      </c>
      <c r="H182" t="s">
        <v>468</v>
      </c>
      <c r="I182" t="s">
        <v>469</v>
      </c>
      <c r="J182" t="s">
        <v>468</v>
      </c>
      <c r="M182" t="s">
        <v>73</v>
      </c>
      <c r="O182" t="s">
        <v>371</v>
      </c>
      <c r="S182" t="s">
        <v>74</v>
      </c>
    </row>
    <row r="183" spans="5:19">
      <c r="E183" t="s">
        <v>319</v>
      </c>
      <c r="F183" t="str">
        <f>值集数据!$E$17</f>
        <v>hpfm_lov-50</v>
      </c>
      <c r="G183" t="s">
        <v>115</v>
      </c>
      <c r="H183" t="s">
        <v>513</v>
      </c>
      <c r="I183" t="s">
        <v>513</v>
      </c>
      <c r="J183" t="s">
        <v>513</v>
      </c>
      <c r="M183" t="s">
        <v>73</v>
      </c>
      <c r="O183" t="s">
        <v>322</v>
      </c>
      <c r="S183" t="s">
        <v>74</v>
      </c>
    </row>
    <row r="184" spans="5:19">
      <c r="E184" t="s">
        <v>319</v>
      </c>
      <c r="F184" t="str">
        <f>值集数据!$E$17</f>
        <v>hpfm_lov-50</v>
      </c>
      <c r="G184" t="s">
        <v>115</v>
      </c>
      <c r="H184" t="s">
        <v>514</v>
      </c>
      <c r="I184" t="s">
        <v>514</v>
      </c>
      <c r="J184" t="s">
        <v>514</v>
      </c>
      <c r="M184" t="s">
        <v>73</v>
      </c>
      <c r="O184" t="s">
        <v>323</v>
      </c>
      <c r="S184" t="s">
        <v>74</v>
      </c>
    </row>
    <row r="185" spans="5:19">
      <c r="E185" t="s">
        <v>319</v>
      </c>
      <c r="F185" t="str">
        <f>值集数据!$E$41</f>
        <v>hpfm_lov-192</v>
      </c>
      <c r="G185" t="s">
        <v>199</v>
      </c>
      <c r="H185" t="s">
        <v>521</v>
      </c>
      <c r="I185" t="s">
        <v>522</v>
      </c>
      <c r="J185" t="s">
        <v>522</v>
      </c>
      <c r="M185" t="s">
        <v>73</v>
      </c>
      <c r="O185" t="s">
        <v>321</v>
      </c>
      <c r="P185" t="s">
        <v>487</v>
      </c>
      <c r="S185" t="s">
        <v>74</v>
      </c>
    </row>
    <row r="186" spans="5:19">
      <c r="E186" t="s">
        <v>319</v>
      </c>
      <c r="F186" t="str">
        <f>值集数据!$E$41</f>
        <v>hpfm_lov-192</v>
      </c>
      <c r="G186" t="s">
        <v>199</v>
      </c>
      <c r="H186" t="s">
        <v>523</v>
      </c>
      <c r="I186" t="s">
        <v>524</v>
      </c>
      <c r="J186" t="s">
        <v>524</v>
      </c>
      <c r="M186" t="s">
        <v>73</v>
      </c>
      <c r="O186" t="s">
        <v>324</v>
      </c>
      <c r="P186" t="s">
        <v>497</v>
      </c>
      <c r="S186" t="s">
        <v>74</v>
      </c>
    </row>
    <row r="187" spans="5:19">
      <c r="E187" t="s">
        <v>319</v>
      </c>
      <c r="F187" t="str">
        <f>值集数据!$E$20</f>
        <v>hpfm_lov-139</v>
      </c>
      <c r="G187" t="s">
        <v>125</v>
      </c>
      <c r="H187" t="s">
        <v>525</v>
      </c>
      <c r="I187" t="s">
        <v>526</v>
      </c>
      <c r="J187" t="s">
        <v>526</v>
      </c>
      <c r="M187" t="s">
        <v>73</v>
      </c>
      <c r="O187" t="s">
        <v>370</v>
      </c>
      <c r="S187" t="s">
        <v>74</v>
      </c>
    </row>
    <row r="188" spans="5:19">
      <c r="E188" t="s">
        <v>319</v>
      </c>
      <c r="F188" t="str">
        <f>值集数据!$E$47</f>
        <v>hpfm_lov-234</v>
      </c>
      <c r="G188" t="s">
        <v>225</v>
      </c>
      <c r="H188" t="s">
        <v>527</v>
      </c>
      <c r="I188" t="s">
        <v>528</v>
      </c>
      <c r="J188" t="s">
        <v>528</v>
      </c>
      <c r="M188" t="s">
        <v>73</v>
      </c>
      <c r="O188" t="s">
        <v>321</v>
      </c>
      <c r="S188" t="s">
        <v>74</v>
      </c>
    </row>
    <row r="189" spans="5:19">
      <c r="E189" t="s">
        <v>319</v>
      </c>
      <c r="F189" t="str">
        <f>值集数据!$E$47</f>
        <v>hpfm_lov-234</v>
      </c>
      <c r="G189" t="s">
        <v>225</v>
      </c>
      <c r="H189" t="s">
        <v>529</v>
      </c>
      <c r="I189" t="s">
        <v>530</v>
      </c>
      <c r="J189" t="s">
        <v>530</v>
      </c>
      <c r="M189" t="s">
        <v>73</v>
      </c>
      <c r="O189" t="s">
        <v>322</v>
      </c>
      <c r="S189" t="s">
        <v>74</v>
      </c>
    </row>
    <row r="190" spans="5:19">
      <c r="E190" t="s">
        <v>319</v>
      </c>
      <c r="F190" t="str">
        <f>值集数据!$E$47</f>
        <v>hpfm_lov-234</v>
      </c>
      <c r="G190" t="s">
        <v>225</v>
      </c>
      <c r="H190" t="s">
        <v>531</v>
      </c>
      <c r="I190" t="s">
        <v>532</v>
      </c>
      <c r="J190" t="s">
        <v>532</v>
      </c>
      <c r="M190" t="s">
        <v>73</v>
      </c>
      <c r="O190" t="s">
        <v>323</v>
      </c>
      <c r="S190" t="s">
        <v>74</v>
      </c>
    </row>
    <row r="191" spans="5:19">
      <c r="E191" t="s">
        <v>319</v>
      </c>
      <c r="F191" t="str">
        <f>值集数据!$E$47</f>
        <v>hpfm_lov-234</v>
      </c>
      <c r="G191" t="s">
        <v>225</v>
      </c>
      <c r="H191" t="s">
        <v>533</v>
      </c>
      <c r="I191" t="s">
        <v>466</v>
      </c>
      <c r="J191" t="s">
        <v>466</v>
      </c>
      <c r="M191" t="s">
        <v>73</v>
      </c>
      <c r="O191" t="s">
        <v>324</v>
      </c>
      <c r="S191" t="s">
        <v>74</v>
      </c>
    </row>
    <row r="192" spans="5:19">
      <c r="E192" t="s">
        <v>319</v>
      </c>
      <c r="F192" t="str">
        <f>值集数据!$E$46</f>
        <v>hpfm_lov-232</v>
      </c>
      <c r="G192" t="s">
        <v>222</v>
      </c>
      <c r="H192" t="s">
        <v>536</v>
      </c>
      <c r="I192" t="s">
        <v>537</v>
      </c>
      <c r="J192" t="s">
        <v>537</v>
      </c>
      <c r="M192" t="s">
        <v>73</v>
      </c>
      <c r="O192" t="s">
        <v>321</v>
      </c>
      <c r="S192" t="s">
        <v>74</v>
      </c>
    </row>
    <row r="193" spans="5:19">
      <c r="E193" t="s">
        <v>319</v>
      </c>
      <c r="F193" t="str">
        <f>值集数据!$E$46</f>
        <v>hpfm_lov-232</v>
      </c>
      <c r="G193" t="s">
        <v>222</v>
      </c>
      <c r="H193" t="s">
        <v>538</v>
      </c>
      <c r="I193" t="s">
        <v>539</v>
      </c>
      <c r="J193" t="s">
        <v>539</v>
      </c>
      <c r="M193" t="s">
        <v>73</v>
      </c>
      <c r="O193" t="s">
        <v>322</v>
      </c>
      <c r="S193" t="s">
        <v>74</v>
      </c>
    </row>
    <row r="194" spans="5:19">
      <c r="E194" t="s">
        <v>319</v>
      </c>
      <c r="F194" t="str">
        <f>值集数据!$E$24</f>
        <v>hpfm_lov-144</v>
      </c>
      <c r="G194" t="s">
        <v>137</v>
      </c>
      <c r="H194" t="s">
        <v>353</v>
      </c>
      <c r="I194" t="s">
        <v>353</v>
      </c>
      <c r="J194" t="s">
        <v>353</v>
      </c>
      <c r="M194" t="s">
        <v>73</v>
      </c>
      <c r="O194" t="s">
        <v>328</v>
      </c>
      <c r="S194" t="s">
        <v>74</v>
      </c>
    </row>
    <row r="195" spans="5:19">
      <c r="E195" t="s">
        <v>319</v>
      </c>
      <c r="F195" t="str">
        <f>值集数据!$E$24</f>
        <v>hpfm_lov-144</v>
      </c>
      <c r="G195" t="s">
        <v>137</v>
      </c>
      <c r="H195" t="s">
        <v>352</v>
      </c>
      <c r="I195" t="s">
        <v>352</v>
      </c>
      <c r="J195" t="s">
        <v>352</v>
      </c>
      <c r="M195" t="s">
        <v>73</v>
      </c>
      <c r="O195" t="s">
        <v>320</v>
      </c>
      <c r="S195" t="s">
        <v>74</v>
      </c>
    </row>
    <row r="196" spans="5:19">
      <c r="E196" t="s">
        <v>319</v>
      </c>
      <c r="F196" t="str">
        <f>值集数据!$E$50</f>
        <v>hpfm_lov-265</v>
      </c>
      <c r="G196" t="s">
        <v>236</v>
      </c>
      <c r="H196" t="s">
        <v>436</v>
      </c>
      <c r="I196" t="s">
        <v>540</v>
      </c>
      <c r="J196" t="s">
        <v>540</v>
      </c>
      <c r="M196" t="s">
        <v>73</v>
      </c>
      <c r="O196" t="s">
        <v>321</v>
      </c>
      <c r="S196" t="s">
        <v>74</v>
      </c>
    </row>
    <row r="197" spans="5:19">
      <c r="E197" t="s">
        <v>319</v>
      </c>
      <c r="F197" t="str">
        <f>值集数据!$E$50</f>
        <v>hpfm_lov-265</v>
      </c>
      <c r="G197" t="s">
        <v>236</v>
      </c>
      <c r="H197" t="s">
        <v>363</v>
      </c>
      <c r="I197" t="s">
        <v>541</v>
      </c>
      <c r="J197" t="s">
        <v>541</v>
      </c>
      <c r="M197" t="s">
        <v>73</v>
      </c>
      <c r="O197" t="s">
        <v>322</v>
      </c>
      <c r="S197" t="s">
        <v>74</v>
      </c>
    </row>
    <row r="198" spans="5:19">
      <c r="E198" t="s">
        <v>319</v>
      </c>
      <c r="F198" t="str">
        <f>值集数据!$E$50</f>
        <v>hpfm_lov-265</v>
      </c>
      <c r="G198" t="s">
        <v>236</v>
      </c>
      <c r="H198" t="s">
        <v>365</v>
      </c>
      <c r="I198" t="s">
        <v>542</v>
      </c>
      <c r="J198" t="s">
        <v>542</v>
      </c>
      <c r="M198" t="s">
        <v>73</v>
      </c>
      <c r="O198" t="s">
        <v>323</v>
      </c>
      <c r="S198" t="s">
        <v>74</v>
      </c>
    </row>
    <row r="199" spans="5:19">
      <c r="E199" t="s">
        <v>319</v>
      </c>
      <c r="F199" t="str">
        <f>值集数据!$E$51</f>
        <v>hpfm_lov-266</v>
      </c>
      <c r="G199" t="s">
        <v>239</v>
      </c>
      <c r="H199" t="s">
        <v>543</v>
      </c>
      <c r="I199" t="s">
        <v>544</v>
      </c>
      <c r="J199" t="s">
        <v>544</v>
      </c>
      <c r="M199" t="s">
        <v>73</v>
      </c>
      <c r="O199" t="s">
        <v>321</v>
      </c>
      <c r="S199" t="s">
        <v>74</v>
      </c>
    </row>
    <row r="200" spans="5:19">
      <c r="E200" t="s">
        <v>319</v>
      </c>
      <c r="F200" t="str">
        <f>值集数据!$E$51</f>
        <v>hpfm_lov-266</v>
      </c>
      <c r="G200" t="s">
        <v>239</v>
      </c>
      <c r="H200" t="s">
        <v>545</v>
      </c>
      <c r="I200" t="s">
        <v>546</v>
      </c>
      <c r="J200" t="s">
        <v>546</v>
      </c>
      <c r="M200" t="s">
        <v>73</v>
      </c>
      <c r="O200" t="s">
        <v>322</v>
      </c>
      <c r="S200" t="s">
        <v>74</v>
      </c>
    </row>
    <row r="201" spans="5:19">
      <c r="E201" t="s">
        <v>319</v>
      </c>
      <c r="F201" t="str">
        <f>值集数据!$E$51</f>
        <v>hpfm_lov-266</v>
      </c>
      <c r="G201" t="s">
        <v>239</v>
      </c>
      <c r="H201" t="s">
        <v>476</v>
      </c>
      <c r="I201" t="s">
        <v>547</v>
      </c>
      <c r="J201" t="s">
        <v>547</v>
      </c>
      <c r="M201" t="s">
        <v>73</v>
      </c>
      <c r="O201" t="s">
        <v>323</v>
      </c>
      <c r="S201" t="s">
        <v>74</v>
      </c>
    </row>
    <row r="202" spans="5:19">
      <c r="E202" t="s">
        <v>319</v>
      </c>
      <c r="F202" t="str">
        <f>值集数据!$E$52</f>
        <v>hpfm_lov-267</v>
      </c>
      <c r="G202" t="s">
        <v>242</v>
      </c>
      <c r="H202" t="s">
        <v>543</v>
      </c>
      <c r="I202" t="s">
        <v>544</v>
      </c>
      <c r="J202" t="s">
        <v>544</v>
      </c>
      <c r="M202" t="s">
        <v>73</v>
      </c>
      <c r="O202" t="s">
        <v>321</v>
      </c>
      <c r="S202" t="s">
        <v>74</v>
      </c>
    </row>
    <row r="203" spans="5:19">
      <c r="E203" t="s">
        <v>319</v>
      </c>
      <c r="F203" t="str">
        <f>值集数据!$E$52</f>
        <v>hpfm_lov-267</v>
      </c>
      <c r="G203" t="s">
        <v>242</v>
      </c>
      <c r="H203" t="s">
        <v>545</v>
      </c>
      <c r="I203" t="s">
        <v>546</v>
      </c>
      <c r="J203" t="s">
        <v>546</v>
      </c>
      <c r="M203" t="s">
        <v>73</v>
      </c>
      <c r="O203" t="s">
        <v>322</v>
      </c>
      <c r="S203" t="s">
        <v>74</v>
      </c>
    </row>
    <row r="204" spans="5:19">
      <c r="E204" t="s">
        <v>319</v>
      </c>
      <c r="F204" t="str">
        <f>值集数据!$E$52</f>
        <v>hpfm_lov-267</v>
      </c>
      <c r="G204" t="s">
        <v>242</v>
      </c>
      <c r="H204" t="s">
        <v>476</v>
      </c>
      <c r="I204" t="s">
        <v>547</v>
      </c>
      <c r="J204" t="s">
        <v>548</v>
      </c>
      <c r="M204" t="s">
        <v>73</v>
      </c>
      <c r="O204" t="s">
        <v>323</v>
      </c>
      <c r="S204" t="s">
        <v>74</v>
      </c>
    </row>
    <row r="205" spans="5:19">
      <c r="E205" t="s">
        <v>319</v>
      </c>
      <c r="F205" t="str">
        <f>值集数据!$E$53</f>
        <v>hpfm_lov-268</v>
      </c>
      <c r="G205" t="s">
        <v>245</v>
      </c>
      <c r="H205" t="s">
        <v>451</v>
      </c>
      <c r="I205" t="s">
        <v>458</v>
      </c>
      <c r="J205" t="s">
        <v>458</v>
      </c>
      <c r="M205" t="s">
        <v>73</v>
      </c>
      <c r="O205" t="s">
        <v>321</v>
      </c>
      <c r="S205" t="s">
        <v>74</v>
      </c>
    </row>
    <row r="206" spans="5:19">
      <c r="E206" t="s">
        <v>319</v>
      </c>
      <c r="F206" t="str">
        <f>值集数据!$E$53</f>
        <v>hpfm_lov-268</v>
      </c>
      <c r="G206" t="s">
        <v>245</v>
      </c>
      <c r="H206" t="s">
        <v>549</v>
      </c>
      <c r="I206" t="s">
        <v>457</v>
      </c>
      <c r="J206" t="s">
        <v>457</v>
      </c>
      <c r="M206" t="s">
        <v>73</v>
      </c>
      <c r="O206" t="s">
        <v>322</v>
      </c>
      <c r="S206" t="s">
        <v>74</v>
      </c>
    </row>
    <row r="207" spans="5:19">
      <c r="E207" t="s">
        <v>319</v>
      </c>
      <c r="F207" t="str">
        <f>值集数据!$E$54</f>
        <v>hpfm_lov-269</v>
      </c>
      <c r="G207" t="s">
        <v>248</v>
      </c>
      <c r="H207" t="s">
        <v>451</v>
      </c>
      <c r="I207" t="s">
        <v>458</v>
      </c>
      <c r="J207" t="s">
        <v>458</v>
      </c>
      <c r="M207" t="s">
        <v>73</v>
      </c>
      <c r="O207" t="s">
        <v>321</v>
      </c>
      <c r="S207" t="s">
        <v>74</v>
      </c>
    </row>
    <row r="208" spans="5:19">
      <c r="E208" t="s">
        <v>319</v>
      </c>
      <c r="F208" t="str">
        <f>值集数据!$E$54</f>
        <v>hpfm_lov-269</v>
      </c>
      <c r="G208" t="s">
        <v>248</v>
      </c>
      <c r="H208" t="s">
        <v>549</v>
      </c>
      <c r="I208" t="s">
        <v>457</v>
      </c>
      <c r="J208" t="s">
        <v>457</v>
      </c>
      <c r="M208" t="s">
        <v>73</v>
      </c>
      <c r="O208" t="s">
        <v>322</v>
      </c>
      <c r="S208" t="s">
        <v>74</v>
      </c>
    </row>
    <row r="209" spans="5:19">
      <c r="E209" t="s">
        <v>319</v>
      </c>
      <c r="F209" t="str">
        <f>值集数据!$E$54</f>
        <v>hpfm_lov-269</v>
      </c>
      <c r="G209" t="s">
        <v>248</v>
      </c>
      <c r="H209" t="s">
        <v>550</v>
      </c>
      <c r="I209" t="s">
        <v>551</v>
      </c>
      <c r="J209" t="s">
        <v>551</v>
      </c>
      <c r="M209" t="s">
        <v>73</v>
      </c>
      <c r="O209" t="s">
        <v>323</v>
      </c>
      <c r="S209" t="s">
        <v>74</v>
      </c>
    </row>
    <row r="210" spans="5:19">
      <c r="E210" t="s">
        <v>319</v>
      </c>
      <c r="F210" t="str">
        <f>值集数据!$E$55</f>
        <v>hpfm_lov-270</v>
      </c>
      <c r="G210" t="s">
        <v>251</v>
      </c>
      <c r="H210" t="s">
        <v>552</v>
      </c>
      <c r="I210" t="s">
        <v>553</v>
      </c>
      <c r="J210" t="s">
        <v>553</v>
      </c>
      <c r="M210" t="s">
        <v>73</v>
      </c>
      <c r="O210" t="s">
        <v>321</v>
      </c>
      <c r="S210" t="s">
        <v>74</v>
      </c>
    </row>
    <row r="211" spans="5:19">
      <c r="E211" t="s">
        <v>319</v>
      </c>
      <c r="F211" t="str">
        <f>值集数据!$E$55</f>
        <v>hpfm_lov-270</v>
      </c>
      <c r="G211" t="s">
        <v>251</v>
      </c>
      <c r="H211" t="s">
        <v>554</v>
      </c>
      <c r="I211" t="s">
        <v>555</v>
      </c>
      <c r="J211" t="s">
        <v>555</v>
      </c>
      <c r="M211" t="s">
        <v>73</v>
      </c>
      <c r="O211" t="s">
        <v>322</v>
      </c>
      <c r="S211" t="s">
        <v>74</v>
      </c>
    </row>
    <row r="212" spans="5:19">
      <c r="E212" t="s">
        <v>319</v>
      </c>
      <c r="F212" t="str">
        <f>值集数据!$E$55</f>
        <v>hpfm_lov-270</v>
      </c>
      <c r="G212" t="s">
        <v>251</v>
      </c>
      <c r="H212" t="s">
        <v>556</v>
      </c>
      <c r="I212" t="s">
        <v>557</v>
      </c>
      <c r="J212" t="s">
        <v>557</v>
      </c>
      <c r="M212" t="s">
        <v>73</v>
      </c>
      <c r="O212" t="s">
        <v>323</v>
      </c>
      <c r="S212" t="s">
        <v>74</v>
      </c>
    </row>
    <row r="213" spans="5:19">
      <c r="E213" t="s">
        <v>319</v>
      </c>
      <c r="F213" t="str">
        <f>值集数据!$E$55</f>
        <v>hpfm_lov-270</v>
      </c>
      <c r="G213" t="s">
        <v>251</v>
      </c>
      <c r="H213" t="s">
        <v>558</v>
      </c>
      <c r="I213" t="s">
        <v>559</v>
      </c>
      <c r="J213" t="s">
        <v>559</v>
      </c>
      <c r="M213" t="s">
        <v>73</v>
      </c>
      <c r="O213" t="s">
        <v>324</v>
      </c>
      <c r="S213" t="s">
        <v>74</v>
      </c>
    </row>
    <row r="214" spans="5:19">
      <c r="E214" t="s">
        <v>319</v>
      </c>
      <c r="F214" t="str">
        <f>值集数据!$E$13</f>
        <v>hpfm_lov-46</v>
      </c>
      <c r="G214" t="s">
        <v>103</v>
      </c>
      <c r="H214" t="s">
        <v>380</v>
      </c>
      <c r="I214" t="s">
        <v>380</v>
      </c>
      <c r="J214" t="s">
        <v>380</v>
      </c>
      <c r="M214" t="s">
        <v>73</v>
      </c>
      <c r="O214" t="s">
        <v>328</v>
      </c>
      <c r="S214" t="s">
        <v>74</v>
      </c>
    </row>
    <row r="215" spans="5:19">
      <c r="E215" t="s">
        <v>319</v>
      </c>
      <c r="F215" t="str">
        <f>值集数据!$E$58</f>
        <v>hpfm_lov-282</v>
      </c>
      <c r="G215" t="s">
        <v>263</v>
      </c>
      <c r="H215" t="s">
        <v>567</v>
      </c>
      <c r="I215" t="s">
        <v>568</v>
      </c>
      <c r="J215" t="s">
        <v>568</v>
      </c>
      <c r="M215" t="s">
        <v>73</v>
      </c>
      <c r="O215" t="s">
        <v>73</v>
      </c>
      <c r="S215" t="s">
        <v>74</v>
      </c>
    </row>
    <row r="216" spans="5:19">
      <c r="E216" t="s">
        <v>319</v>
      </c>
      <c r="F216" t="str">
        <f>值集数据!$E$58</f>
        <v>hpfm_lov-282</v>
      </c>
      <c r="G216" t="s">
        <v>263</v>
      </c>
      <c r="H216" t="s">
        <v>76</v>
      </c>
      <c r="I216" t="s">
        <v>569</v>
      </c>
      <c r="J216" t="s">
        <v>569</v>
      </c>
      <c r="M216" t="s">
        <v>73</v>
      </c>
      <c r="O216" t="s">
        <v>321</v>
      </c>
      <c r="S216" t="s">
        <v>74</v>
      </c>
    </row>
    <row r="217" spans="5:19">
      <c r="E217" t="s">
        <v>319</v>
      </c>
      <c r="F217" t="str">
        <f>值集数据!$E$59</f>
        <v>hpfm_lov-283</v>
      </c>
      <c r="G217" t="s">
        <v>266</v>
      </c>
      <c r="H217" t="s">
        <v>570</v>
      </c>
      <c r="I217" t="s">
        <v>570</v>
      </c>
      <c r="J217" t="s">
        <v>570</v>
      </c>
      <c r="M217" t="s">
        <v>73</v>
      </c>
      <c r="O217" t="s">
        <v>73</v>
      </c>
      <c r="S217" t="s">
        <v>74</v>
      </c>
    </row>
    <row r="218" spans="5:19">
      <c r="E218" t="s">
        <v>319</v>
      </c>
      <c r="F218" t="str">
        <f>值集数据!$E$59</f>
        <v>hpfm_lov-283</v>
      </c>
      <c r="G218" t="s">
        <v>266</v>
      </c>
      <c r="H218" t="s">
        <v>534</v>
      </c>
      <c r="I218" t="s">
        <v>534</v>
      </c>
      <c r="J218" t="s">
        <v>534</v>
      </c>
      <c r="M218" t="s">
        <v>73</v>
      </c>
      <c r="O218" t="s">
        <v>321</v>
      </c>
      <c r="S218" t="s">
        <v>74</v>
      </c>
    </row>
    <row r="219" spans="5:19">
      <c r="E219" t="s">
        <v>319</v>
      </c>
      <c r="F219" t="str">
        <f>值集数据!$E$59</f>
        <v>hpfm_lov-283</v>
      </c>
      <c r="G219" t="s">
        <v>266</v>
      </c>
      <c r="H219" t="s">
        <v>571</v>
      </c>
      <c r="I219" t="s">
        <v>571</v>
      </c>
      <c r="J219" t="s">
        <v>571</v>
      </c>
      <c r="M219" t="s">
        <v>73</v>
      </c>
      <c r="O219" t="s">
        <v>322</v>
      </c>
      <c r="S219" t="s">
        <v>74</v>
      </c>
    </row>
    <row r="220" spans="5:19">
      <c r="E220" t="s">
        <v>319</v>
      </c>
      <c r="F220" t="str">
        <f>值集数据!$E$59</f>
        <v>hpfm_lov-283</v>
      </c>
      <c r="G220" t="s">
        <v>266</v>
      </c>
      <c r="H220" t="s">
        <v>572</v>
      </c>
      <c r="I220" t="s">
        <v>572</v>
      </c>
      <c r="J220" t="s">
        <v>572</v>
      </c>
      <c r="M220" t="s">
        <v>73</v>
      </c>
      <c r="O220" t="s">
        <v>323</v>
      </c>
      <c r="S220" t="s">
        <v>74</v>
      </c>
    </row>
    <row r="221" spans="5:19">
      <c r="E221" t="s">
        <v>319</v>
      </c>
      <c r="F221" t="str">
        <f>值集数据!$E$59</f>
        <v>hpfm_lov-283</v>
      </c>
      <c r="G221" t="s">
        <v>266</v>
      </c>
      <c r="H221" t="s">
        <v>573</v>
      </c>
      <c r="I221" t="s">
        <v>573</v>
      </c>
      <c r="J221" t="s">
        <v>573</v>
      </c>
      <c r="M221" t="s">
        <v>73</v>
      </c>
      <c r="O221" t="s">
        <v>324</v>
      </c>
      <c r="S221" t="s">
        <v>74</v>
      </c>
    </row>
    <row r="222" spans="5:19">
      <c r="E222" t="s">
        <v>319</v>
      </c>
      <c r="F222" t="str">
        <f>值集数据!$E$59</f>
        <v>hpfm_lov-283</v>
      </c>
      <c r="G222" t="s">
        <v>266</v>
      </c>
      <c r="H222" t="s">
        <v>574</v>
      </c>
      <c r="I222" t="s">
        <v>574</v>
      </c>
      <c r="J222" t="s">
        <v>574</v>
      </c>
      <c r="M222" t="s">
        <v>73</v>
      </c>
      <c r="O222" t="s">
        <v>325</v>
      </c>
      <c r="S222" t="s">
        <v>74</v>
      </c>
    </row>
    <row r="223" spans="5:19">
      <c r="E223" t="s">
        <v>319</v>
      </c>
      <c r="F223" t="str">
        <f>值集数据!$E$59</f>
        <v>hpfm_lov-283</v>
      </c>
      <c r="G223" t="s">
        <v>266</v>
      </c>
      <c r="H223" t="s">
        <v>362</v>
      </c>
      <c r="I223" t="s">
        <v>362</v>
      </c>
      <c r="J223" t="s">
        <v>362</v>
      </c>
      <c r="M223" t="s">
        <v>73</v>
      </c>
      <c r="O223" t="s">
        <v>332</v>
      </c>
      <c r="S223" t="s">
        <v>74</v>
      </c>
    </row>
    <row r="224" spans="5:19">
      <c r="E224" t="s">
        <v>319</v>
      </c>
      <c r="F224" t="str">
        <f>值集数据!$E$59</f>
        <v>hpfm_lov-283</v>
      </c>
      <c r="G224" t="s">
        <v>266</v>
      </c>
      <c r="H224" t="s">
        <v>535</v>
      </c>
      <c r="I224" t="s">
        <v>535</v>
      </c>
      <c r="J224" t="s">
        <v>535</v>
      </c>
      <c r="M224" t="s">
        <v>73</v>
      </c>
      <c r="O224" t="s">
        <v>333</v>
      </c>
      <c r="S224" t="s">
        <v>74</v>
      </c>
    </row>
    <row r="225" spans="5:19">
      <c r="E225" t="s">
        <v>319</v>
      </c>
      <c r="F225" t="str">
        <f>值集数据!$E$59</f>
        <v>hpfm_lov-283</v>
      </c>
      <c r="G225" t="s">
        <v>266</v>
      </c>
      <c r="H225" t="s">
        <v>575</v>
      </c>
      <c r="I225" t="s">
        <v>575</v>
      </c>
      <c r="J225" t="s">
        <v>575</v>
      </c>
      <c r="M225" t="s">
        <v>73</v>
      </c>
      <c r="O225" t="s">
        <v>334</v>
      </c>
      <c r="S225" t="s">
        <v>74</v>
      </c>
    </row>
    <row r="226" spans="5:19">
      <c r="E226" t="s">
        <v>319</v>
      </c>
      <c r="F226" t="str">
        <f>值集数据!$E$59</f>
        <v>hpfm_lov-283</v>
      </c>
      <c r="G226" t="s">
        <v>266</v>
      </c>
      <c r="H226" t="s">
        <v>576</v>
      </c>
      <c r="I226" t="s">
        <v>576</v>
      </c>
      <c r="J226" t="s">
        <v>576</v>
      </c>
      <c r="M226" t="s">
        <v>73</v>
      </c>
      <c r="O226" t="s">
        <v>335</v>
      </c>
      <c r="S226" t="s">
        <v>74</v>
      </c>
    </row>
    <row r="227" spans="5:19">
      <c r="E227" t="s">
        <v>319</v>
      </c>
      <c r="F227" t="str">
        <f>值集数据!$E$60</f>
        <v>hpfm_lov-284</v>
      </c>
      <c r="G227" t="s">
        <v>269</v>
      </c>
      <c r="H227" t="s">
        <v>376</v>
      </c>
      <c r="I227" t="s">
        <v>561</v>
      </c>
      <c r="J227" t="s">
        <v>561</v>
      </c>
      <c r="M227" t="s">
        <v>73</v>
      </c>
      <c r="O227" t="s">
        <v>322</v>
      </c>
      <c r="S227" t="s">
        <v>74</v>
      </c>
    </row>
    <row r="228" spans="5:19">
      <c r="E228" t="s">
        <v>319</v>
      </c>
      <c r="F228" t="str">
        <f>值集数据!$E$60</f>
        <v>hpfm_lov-284</v>
      </c>
      <c r="G228" t="s">
        <v>269</v>
      </c>
      <c r="H228" t="s">
        <v>465</v>
      </c>
      <c r="I228" t="s">
        <v>560</v>
      </c>
      <c r="J228" t="s">
        <v>560</v>
      </c>
      <c r="M228" t="s">
        <v>73</v>
      </c>
      <c r="O228" t="s">
        <v>321</v>
      </c>
      <c r="S228" t="s">
        <v>74</v>
      </c>
    </row>
    <row r="229" spans="5:19">
      <c r="E229" t="s">
        <v>319</v>
      </c>
      <c r="F229" t="str">
        <f>值集数据!$E$60</f>
        <v>hpfm_lov-284</v>
      </c>
      <c r="G229" t="s">
        <v>269</v>
      </c>
      <c r="H229" t="s">
        <v>577</v>
      </c>
      <c r="I229" t="s">
        <v>562</v>
      </c>
      <c r="J229" t="s">
        <v>562</v>
      </c>
      <c r="M229" t="s">
        <v>73</v>
      </c>
      <c r="O229" t="s">
        <v>323</v>
      </c>
      <c r="S229" t="s">
        <v>74</v>
      </c>
    </row>
    <row r="230" spans="5:19">
      <c r="E230" t="s">
        <v>319</v>
      </c>
      <c r="F230" t="str">
        <f>值集数据!$E$60</f>
        <v>hpfm_lov-284</v>
      </c>
      <c r="G230" t="s">
        <v>269</v>
      </c>
      <c r="H230" t="s">
        <v>354</v>
      </c>
      <c r="I230" t="s">
        <v>563</v>
      </c>
      <c r="J230" t="s">
        <v>578</v>
      </c>
      <c r="M230" t="s">
        <v>73</v>
      </c>
      <c r="O230" t="s">
        <v>324</v>
      </c>
      <c r="S230" t="s">
        <v>74</v>
      </c>
    </row>
    <row r="231" spans="5:19">
      <c r="E231" t="s">
        <v>319</v>
      </c>
      <c r="F231" t="str">
        <f>值集数据!$E$60</f>
        <v>hpfm_lov-284</v>
      </c>
      <c r="G231" t="s">
        <v>269</v>
      </c>
      <c r="H231" t="s">
        <v>579</v>
      </c>
      <c r="I231" t="s">
        <v>564</v>
      </c>
      <c r="J231" t="s">
        <v>580</v>
      </c>
      <c r="M231" t="s">
        <v>73</v>
      </c>
      <c r="O231" t="s">
        <v>325</v>
      </c>
      <c r="S231" t="s">
        <v>74</v>
      </c>
    </row>
    <row r="232" spans="5:19">
      <c r="E232" t="s">
        <v>319</v>
      </c>
      <c r="F232" t="str">
        <f>值集数据!$E$60</f>
        <v>hpfm_lov-284</v>
      </c>
      <c r="G232" t="s">
        <v>269</v>
      </c>
      <c r="H232" t="s">
        <v>369</v>
      </c>
      <c r="I232" t="s">
        <v>566</v>
      </c>
      <c r="J232" t="s">
        <v>566</v>
      </c>
      <c r="M232" t="s">
        <v>73</v>
      </c>
      <c r="O232" t="s">
        <v>332</v>
      </c>
      <c r="S232" t="s">
        <v>74</v>
      </c>
    </row>
    <row r="233" spans="5:19">
      <c r="E233" t="s">
        <v>319</v>
      </c>
      <c r="F233" t="str">
        <f>值集数据!$E$60</f>
        <v>hpfm_lov-284</v>
      </c>
      <c r="G233" t="s">
        <v>269</v>
      </c>
      <c r="H233" t="s">
        <v>581</v>
      </c>
      <c r="I233" t="s">
        <v>565</v>
      </c>
      <c r="J233" t="s">
        <v>565</v>
      </c>
      <c r="M233" t="s">
        <v>73</v>
      </c>
      <c r="O233" t="s">
        <v>333</v>
      </c>
      <c r="S233" t="s">
        <v>74</v>
      </c>
    </row>
    <row r="234" spans="5:19">
      <c r="E234" t="s">
        <v>319</v>
      </c>
      <c r="F234" t="str">
        <f>值集数据!$E$60</f>
        <v>hpfm_lov-284</v>
      </c>
      <c r="G234" t="s">
        <v>269</v>
      </c>
      <c r="H234" t="s">
        <v>582</v>
      </c>
      <c r="I234" t="s">
        <v>583</v>
      </c>
      <c r="J234" t="s">
        <v>583</v>
      </c>
      <c r="M234" t="s">
        <v>73</v>
      </c>
      <c r="O234" t="s">
        <v>334</v>
      </c>
      <c r="S234" t="s">
        <v>74</v>
      </c>
    </row>
    <row r="235" spans="5:19">
      <c r="E235" t="s">
        <v>319</v>
      </c>
      <c r="F235" t="str">
        <f>值集数据!$E$60</f>
        <v>hpfm_lov-284</v>
      </c>
      <c r="G235" t="s">
        <v>269</v>
      </c>
      <c r="H235" t="s">
        <v>584</v>
      </c>
      <c r="I235" t="s">
        <v>584</v>
      </c>
      <c r="J235" t="s">
        <v>584</v>
      </c>
      <c r="M235" t="s">
        <v>73</v>
      </c>
      <c r="O235" t="s">
        <v>335</v>
      </c>
      <c r="S235" t="s">
        <v>74</v>
      </c>
    </row>
    <row r="236" spans="5:19">
      <c r="E236" t="s">
        <v>319</v>
      </c>
      <c r="F236" t="str">
        <f>值集数据!$E$61</f>
        <v>hpfm_lov-285</v>
      </c>
      <c r="G236" t="s">
        <v>272</v>
      </c>
      <c r="H236" t="s">
        <v>73</v>
      </c>
      <c r="I236" t="s">
        <v>585</v>
      </c>
      <c r="J236" t="s">
        <v>585</v>
      </c>
      <c r="M236" t="s">
        <v>73</v>
      </c>
      <c r="O236" t="s">
        <v>321</v>
      </c>
      <c r="S236" t="s">
        <v>74</v>
      </c>
    </row>
    <row r="237" spans="5:19">
      <c r="E237" t="s">
        <v>319</v>
      </c>
      <c r="F237" t="str">
        <f>值集数据!$E$61</f>
        <v>hpfm_lov-285</v>
      </c>
      <c r="G237" t="s">
        <v>272</v>
      </c>
      <c r="H237" t="s">
        <v>74</v>
      </c>
      <c r="I237" t="s">
        <v>586</v>
      </c>
      <c r="J237" t="s">
        <v>586</v>
      </c>
      <c r="M237" t="s">
        <v>73</v>
      </c>
      <c r="O237" t="s">
        <v>322</v>
      </c>
      <c r="S237" t="s">
        <v>74</v>
      </c>
    </row>
    <row r="238" spans="5:19">
      <c r="E238" t="s">
        <v>319</v>
      </c>
      <c r="F238" t="str">
        <f>值集数据!$E$61</f>
        <v>hpfm_lov-285</v>
      </c>
      <c r="G238" t="s">
        <v>272</v>
      </c>
      <c r="H238" t="s">
        <v>320</v>
      </c>
      <c r="I238" t="s">
        <v>473</v>
      </c>
      <c r="J238" t="s">
        <v>473</v>
      </c>
      <c r="M238" t="s">
        <v>73</v>
      </c>
      <c r="O238" t="s">
        <v>323</v>
      </c>
      <c r="S238" t="s">
        <v>74</v>
      </c>
    </row>
    <row r="239" spans="5:19">
      <c r="E239" t="s">
        <v>319</v>
      </c>
      <c r="F239" t="str">
        <f>值集数据!$E$62</f>
        <v>hpfm_lov-286</v>
      </c>
      <c r="G239" t="s">
        <v>275</v>
      </c>
      <c r="H239" t="s">
        <v>391</v>
      </c>
      <c r="I239" t="s">
        <v>587</v>
      </c>
      <c r="J239" t="s">
        <v>587</v>
      </c>
      <c r="M239" t="s">
        <v>73</v>
      </c>
      <c r="O239" t="s">
        <v>321</v>
      </c>
      <c r="S239" t="s">
        <v>74</v>
      </c>
    </row>
    <row r="240" spans="5:19">
      <c r="E240" t="s">
        <v>319</v>
      </c>
      <c r="F240" t="str">
        <f>值集数据!$E$62</f>
        <v>hpfm_lov-286</v>
      </c>
      <c r="G240" t="s">
        <v>275</v>
      </c>
      <c r="H240" t="s">
        <v>470</v>
      </c>
      <c r="I240" t="s">
        <v>471</v>
      </c>
      <c r="J240" t="s">
        <v>471</v>
      </c>
      <c r="M240" t="s">
        <v>73</v>
      </c>
      <c r="O240" t="s">
        <v>322</v>
      </c>
      <c r="S240" t="s">
        <v>74</v>
      </c>
    </row>
    <row r="241" spans="5:19">
      <c r="E241" t="s">
        <v>319</v>
      </c>
      <c r="F241" t="str">
        <f>值集数据!$E$62</f>
        <v>hpfm_lov-286</v>
      </c>
      <c r="G241" t="s">
        <v>275</v>
      </c>
      <c r="H241" t="s">
        <v>588</v>
      </c>
      <c r="I241" t="s">
        <v>589</v>
      </c>
      <c r="J241" t="s">
        <v>589</v>
      </c>
      <c r="M241" t="s">
        <v>73</v>
      </c>
      <c r="O241" t="s">
        <v>323</v>
      </c>
      <c r="S241" t="s">
        <v>74</v>
      </c>
    </row>
    <row r="242" spans="5:19">
      <c r="E242" t="s">
        <v>319</v>
      </c>
      <c r="F242" t="str">
        <f>值集数据!$E$62</f>
        <v>hpfm_lov-286</v>
      </c>
      <c r="G242" t="s">
        <v>275</v>
      </c>
      <c r="H242" t="s">
        <v>362</v>
      </c>
      <c r="I242" t="s">
        <v>44</v>
      </c>
      <c r="J242" t="s">
        <v>44</v>
      </c>
      <c r="M242" t="s">
        <v>73</v>
      </c>
      <c r="O242" t="s">
        <v>324</v>
      </c>
      <c r="S242" t="s">
        <v>74</v>
      </c>
    </row>
    <row r="243" spans="5:19">
      <c r="E243" t="s">
        <v>319</v>
      </c>
      <c r="F243" t="str">
        <f>值集数据!$E$62</f>
        <v>hpfm_lov-286</v>
      </c>
      <c r="G243" t="s">
        <v>275</v>
      </c>
      <c r="H243" t="s">
        <v>535</v>
      </c>
      <c r="I243" t="s">
        <v>331</v>
      </c>
      <c r="J243" t="s">
        <v>331</v>
      </c>
      <c r="M243" t="s">
        <v>73</v>
      </c>
      <c r="O243" t="s">
        <v>325</v>
      </c>
      <c r="S243" t="s">
        <v>74</v>
      </c>
    </row>
    <row r="244" spans="5:19">
      <c r="E244" t="s">
        <v>319</v>
      </c>
      <c r="F244" t="str">
        <f>值集数据!$E$38</f>
        <v>hpfm_lov-189</v>
      </c>
      <c r="G244" t="s">
        <v>190</v>
      </c>
      <c r="H244" t="s">
        <v>590</v>
      </c>
      <c r="I244" t="s">
        <v>474</v>
      </c>
      <c r="J244" t="s">
        <v>475</v>
      </c>
      <c r="M244" t="s">
        <v>73</v>
      </c>
      <c r="O244" t="s">
        <v>324</v>
      </c>
      <c r="S244" t="s">
        <v>74</v>
      </c>
    </row>
    <row r="245" spans="5:19">
      <c r="E245" t="s">
        <v>319</v>
      </c>
      <c r="F245" t="str">
        <f>值集数据!$E$63</f>
        <v>hpfm_lov-287</v>
      </c>
      <c r="G245" t="s">
        <v>278</v>
      </c>
      <c r="H245" t="s">
        <v>591</v>
      </c>
      <c r="I245" t="s">
        <v>591</v>
      </c>
      <c r="J245" t="s">
        <v>591</v>
      </c>
      <c r="M245" t="s">
        <v>73</v>
      </c>
      <c r="O245" t="s">
        <v>74</v>
      </c>
      <c r="S245" t="s">
        <v>74</v>
      </c>
    </row>
    <row r="246" spans="5:19">
      <c r="E246" t="s">
        <v>319</v>
      </c>
      <c r="F246" t="str">
        <f>值集数据!$E$63</f>
        <v>hpfm_lov-287</v>
      </c>
      <c r="G246" t="s">
        <v>278</v>
      </c>
      <c r="H246" t="s">
        <v>592</v>
      </c>
      <c r="I246" t="s">
        <v>592</v>
      </c>
      <c r="J246" t="s">
        <v>592</v>
      </c>
      <c r="M246" t="s">
        <v>73</v>
      </c>
      <c r="O246" t="s">
        <v>320</v>
      </c>
      <c r="S246" t="s">
        <v>74</v>
      </c>
    </row>
    <row r="247" spans="5:19">
      <c r="E247" t="s">
        <v>319</v>
      </c>
      <c r="F247" t="str">
        <f>值集数据!$E$12</f>
        <v>hpfm_lov-45</v>
      </c>
      <c r="G247" t="s">
        <v>100</v>
      </c>
      <c r="H247" t="s">
        <v>543</v>
      </c>
      <c r="I247" t="s">
        <v>544</v>
      </c>
      <c r="J247" t="s">
        <v>544</v>
      </c>
      <c r="M247" t="s">
        <v>73</v>
      </c>
      <c r="O247" t="s">
        <v>73</v>
      </c>
      <c r="S247" t="s">
        <v>74</v>
      </c>
    </row>
    <row r="248" spans="5:19">
      <c r="E248" t="s">
        <v>319</v>
      </c>
      <c r="F248" t="str">
        <f>值集数据!$E$59</f>
        <v>hpfm_lov-283</v>
      </c>
      <c r="G248" t="s">
        <v>266</v>
      </c>
      <c r="H248" t="s">
        <v>593</v>
      </c>
      <c r="I248" t="s">
        <v>593</v>
      </c>
      <c r="J248" t="s">
        <v>593</v>
      </c>
      <c r="M248" t="s">
        <v>73</v>
      </c>
      <c r="O248" t="s">
        <v>336</v>
      </c>
      <c r="S248" t="s">
        <v>74</v>
      </c>
    </row>
    <row r="249" spans="5:19">
      <c r="E249" t="s">
        <v>319</v>
      </c>
      <c r="F249" t="str">
        <f>值集数据!$E$13</f>
        <v>hpfm_lov-46</v>
      </c>
      <c r="G249" t="s">
        <v>103</v>
      </c>
      <c r="H249" t="s">
        <v>378</v>
      </c>
      <c r="I249" t="s">
        <v>378</v>
      </c>
      <c r="J249" t="s">
        <v>378</v>
      </c>
      <c r="M249" t="s">
        <v>73</v>
      </c>
      <c r="O249" t="s">
        <v>324</v>
      </c>
      <c r="S249" t="s">
        <v>74</v>
      </c>
    </row>
    <row r="250" spans="5:19">
      <c r="E250" t="s">
        <v>319</v>
      </c>
      <c r="F250" t="str">
        <f>值集数据!$E$41</f>
        <v>hpfm_lov-192</v>
      </c>
      <c r="G250" t="s">
        <v>199</v>
      </c>
      <c r="H250" t="s">
        <v>594</v>
      </c>
      <c r="I250" t="s">
        <v>595</v>
      </c>
      <c r="J250" t="s">
        <v>595</v>
      </c>
      <c r="M250" t="s">
        <v>73</v>
      </c>
      <c r="O250" t="s">
        <v>336</v>
      </c>
      <c r="P250" t="s">
        <v>487</v>
      </c>
      <c r="S250" t="s">
        <v>74</v>
      </c>
    </row>
    <row r="251" spans="5:19">
      <c r="E251" t="s">
        <v>319</v>
      </c>
      <c r="F251" t="str">
        <f>值集数据!$E$65</f>
        <v>hpfm_lov-293</v>
      </c>
      <c r="G251" t="s">
        <v>287</v>
      </c>
      <c r="H251" t="s">
        <v>596</v>
      </c>
      <c r="I251" t="s">
        <v>515</v>
      </c>
      <c r="J251" t="s">
        <v>515</v>
      </c>
      <c r="K251" t="s">
        <v>515</v>
      </c>
      <c r="L251" t="s">
        <v>515</v>
      </c>
      <c r="M251" t="s">
        <v>73</v>
      </c>
      <c r="O251" t="s">
        <v>321</v>
      </c>
      <c r="S251" t="s">
        <v>74</v>
      </c>
    </row>
    <row r="252" spans="5:19">
      <c r="E252" t="s">
        <v>319</v>
      </c>
      <c r="F252" t="str">
        <f>值集数据!$E$65</f>
        <v>hpfm_lov-293</v>
      </c>
      <c r="G252" t="s">
        <v>287</v>
      </c>
      <c r="H252" t="s">
        <v>597</v>
      </c>
      <c r="I252" t="s">
        <v>516</v>
      </c>
      <c r="J252" t="s">
        <v>516</v>
      </c>
      <c r="K252" t="s">
        <v>516</v>
      </c>
      <c r="M252" t="s">
        <v>73</v>
      </c>
      <c r="O252" t="s">
        <v>322</v>
      </c>
      <c r="S252" t="s">
        <v>74</v>
      </c>
    </row>
    <row r="253" spans="5:19">
      <c r="E253" t="s">
        <v>319</v>
      </c>
      <c r="F253" t="str">
        <f>值集数据!$E$65</f>
        <v>hpfm_lov-293</v>
      </c>
      <c r="G253" t="s">
        <v>287</v>
      </c>
      <c r="H253" t="s">
        <v>598</v>
      </c>
      <c r="I253" t="s">
        <v>517</v>
      </c>
      <c r="J253" t="s">
        <v>517</v>
      </c>
      <c r="K253" t="s">
        <v>517</v>
      </c>
      <c r="L253" t="s">
        <v>517</v>
      </c>
      <c r="M253" t="s">
        <v>73</v>
      </c>
      <c r="O253" t="s">
        <v>323</v>
      </c>
      <c r="S253" t="s">
        <v>74</v>
      </c>
    </row>
    <row r="254" spans="5:19">
      <c r="E254" t="s">
        <v>319</v>
      </c>
      <c r="F254" t="str">
        <f>值集数据!$E$65</f>
        <v>hpfm_lov-293</v>
      </c>
      <c r="G254" t="s">
        <v>287</v>
      </c>
      <c r="H254" t="s">
        <v>599</v>
      </c>
      <c r="I254" t="s">
        <v>518</v>
      </c>
      <c r="J254" t="s">
        <v>518</v>
      </c>
      <c r="K254" t="s">
        <v>518</v>
      </c>
      <c r="L254" t="s">
        <v>518</v>
      </c>
      <c r="M254" t="s">
        <v>73</v>
      </c>
      <c r="O254" t="s">
        <v>324</v>
      </c>
      <c r="S254" t="s">
        <v>74</v>
      </c>
    </row>
    <row r="255" spans="5:19">
      <c r="E255" t="s">
        <v>319</v>
      </c>
      <c r="F255" t="str">
        <f>值集数据!$E$65</f>
        <v>hpfm_lov-293</v>
      </c>
      <c r="G255" t="s">
        <v>287</v>
      </c>
      <c r="H255" t="s">
        <v>600</v>
      </c>
      <c r="I255" t="s">
        <v>519</v>
      </c>
      <c r="J255" t="s">
        <v>519</v>
      </c>
      <c r="K255" t="s">
        <v>519</v>
      </c>
      <c r="L255" t="s">
        <v>519</v>
      </c>
      <c r="M255" t="s">
        <v>73</v>
      </c>
      <c r="O255" t="s">
        <v>325</v>
      </c>
      <c r="S255" t="s">
        <v>74</v>
      </c>
    </row>
    <row r="256" spans="5:19">
      <c r="E256" t="s">
        <v>319</v>
      </c>
      <c r="F256" t="str">
        <f>值集数据!$E$65</f>
        <v>hpfm_lov-293</v>
      </c>
      <c r="G256" t="s">
        <v>287</v>
      </c>
      <c r="H256" t="s">
        <v>601</v>
      </c>
      <c r="I256" t="s">
        <v>520</v>
      </c>
      <c r="J256" t="s">
        <v>520</v>
      </c>
      <c r="K256" t="s">
        <v>520</v>
      </c>
      <c r="L256" t="s">
        <v>520</v>
      </c>
      <c r="M256" t="s">
        <v>73</v>
      </c>
      <c r="O256" t="s">
        <v>332</v>
      </c>
      <c r="S256" t="s">
        <v>74</v>
      </c>
    </row>
    <row r="257" spans="1:20">
      <c r="E257" t="s">
        <v>319</v>
      </c>
      <c r="F257" t="str">
        <f>值集数据!$E$66</f>
        <v>hpfm_lov-294</v>
      </c>
      <c r="G257" t="s">
        <v>290</v>
      </c>
      <c r="H257" t="s">
        <v>602</v>
      </c>
      <c r="I257" t="s">
        <v>602</v>
      </c>
      <c r="J257" t="s">
        <v>602</v>
      </c>
      <c r="M257" t="s">
        <v>73</v>
      </c>
      <c r="O257" t="s">
        <v>74</v>
      </c>
      <c r="S257" t="s">
        <v>74</v>
      </c>
    </row>
    <row r="258" spans="1:20">
      <c r="E258" t="s">
        <v>319</v>
      </c>
      <c r="F258" t="str">
        <f>值集数据!$E$66</f>
        <v>hpfm_lov-294</v>
      </c>
      <c r="G258" t="s">
        <v>290</v>
      </c>
      <c r="H258" t="s">
        <v>603</v>
      </c>
      <c r="I258" t="s">
        <v>603</v>
      </c>
      <c r="J258" t="s">
        <v>603</v>
      </c>
      <c r="M258" t="s">
        <v>73</v>
      </c>
      <c r="O258" t="s">
        <v>320</v>
      </c>
      <c r="S258" t="s">
        <v>74</v>
      </c>
    </row>
    <row r="259" spans="1:20">
      <c r="E259" t="s">
        <v>319</v>
      </c>
      <c r="F259" t="str">
        <f>值集数据!$E$67</f>
        <v>hpfm_lov-295</v>
      </c>
      <c r="G259" t="s">
        <v>293</v>
      </c>
      <c r="H259" t="s">
        <v>395</v>
      </c>
      <c r="I259" t="s">
        <v>396</v>
      </c>
      <c r="J259" t="s">
        <v>604</v>
      </c>
      <c r="M259" t="s">
        <v>73</v>
      </c>
      <c r="O259" t="s">
        <v>321</v>
      </c>
      <c r="S259" t="s">
        <v>74</v>
      </c>
    </row>
    <row r="260" spans="1:20">
      <c r="E260" t="s">
        <v>319</v>
      </c>
      <c r="F260" t="str">
        <f>值集数据!$E$67</f>
        <v>hpfm_lov-295</v>
      </c>
      <c r="G260" t="s">
        <v>293</v>
      </c>
      <c r="H260" t="s">
        <v>393</v>
      </c>
      <c r="I260" t="s">
        <v>394</v>
      </c>
      <c r="J260" t="s">
        <v>605</v>
      </c>
      <c r="M260" t="s">
        <v>73</v>
      </c>
      <c r="O260" t="s">
        <v>322</v>
      </c>
      <c r="S260" t="s">
        <v>74</v>
      </c>
    </row>
    <row r="261" spans="1:20">
      <c r="E261" t="s">
        <v>319</v>
      </c>
      <c r="F261" t="str">
        <f>值集数据!$E$67</f>
        <v>hpfm_lov-295</v>
      </c>
      <c r="G261" t="s">
        <v>293</v>
      </c>
      <c r="H261" t="s">
        <v>391</v>
      </c>
      <c r="I261" t="s">
        <v>587</v>
      </c>
      <c r="J261" t="s">
        <v>472</v>
      </c>
      <c r="M261" t="s">
        <v>73</v>
      </c>
      <c r="O261" t="s">
        <v>323</v>
      </c>
      <c r="S261" t="s">
        <v>74</v>
      </c>
    </row>
    <row r="262" spans="1:20">
      <c r="E262" t="s">
        <v>319</v>
      </c>
      <c r="F262" t="str">
        <f>值集数据!$E$67</f>
        <v>hpfm_lov-295</v>
      </c>
      <c r="G262" t="s">
        <v>293</v>
      </c>
      <c r="H262" t="s">
        <v>606</v>
      </c>
      <c r="I262" t="s">
        <v>471</v>
      </c>
      <c r="J262" t="s">
        <v>607</v>
      </c>
      <c r="M262" t="s">
        <v>73</v>
      </c>
      <c r="O262" t="s">
        <v>324</v>
      </c>
      <c r="S262" t="s">
        <v>74</v>
      </c>
    </row>
    <row r="263" spans="1:20">
      <c r="E263" t="s">
        <v>319</v>
      </c>
      <c r="F263" t="str">
        <f>值集数据!$E$67</f>
        <v>hpfm_lov-295</v>
      </c>
      <c r="G263" t="s">
        <v>293</v>
      </c>
      <c r="H263" t="s">
        <v>608</v>
      </c>
      <c r="I263" t="s">
        <v>609</v>
      </c>
      <c r="J263" t="s">
        <v>610</v>
      </c>
      <c r="M263" t="s">
        <v>73</v>
      </c>
      <c r="O263" t="s">
        <v>325</v>
      </c>
      <c r="S263" t="s">
        <v>74</v>
      </c>
    </row>
    <row r="264" spans="1:20">
      <c r="E264" t="s">
        <v>319</v>
      </c>
      <c r="F264" t="str">
        <f>值集数据!$E$68</f>
        <v>hpfm_lov-296</v>
      </c>
      <c r="G264" t="s">
        <v>296</v>
      </c>
      <c r="H264" t="s">
        <v>611</v>
      </c>
      <c r="I264" t="s">
        <v>612</v>
      </c>
      <c r="J264" t="s">
        <v>612</v>
      </c>
      <c r="M264" t="s">
        <v>73</v>
      </c>
      <c r="O264" t="s">
        <v>321</v>
      </c>
      <c r="S264" t="s">
        <v>74</v>
      </c>
    </row>
    <row r="265" spans="1:20">
      <c r="E265" t="s">
        <v>319</v>
      </c>
      <c r="F265" t="str">
        <f>值集数据!$E$69</f>
        <v>hpfm_lov-297</v>
      </c>
      <c r="G265" t="s">
        <v>299</v>
      </c>
      <c r="H265" t="s">
        <v>613</v>
      </c>
      <c r="I265" t="s">
        <v>614</v>
      </c>
      <c r="J265" t="s">
        <v>614</v>
      </c>
      <c r="K265" t="s">
        <v>301</v>
      </c>
      <c r="L265" t="s">
        <v>301</v>
      </c>
      <c r="M265" t="s">
        <v>73</v>
      </c>
      <c r="O265" t="s">
        <v>321</v>
      </c>
      <c r="S265" t="s">
        <v>74</v>
      </c>
    </row>
    <row r="266" spans="1:20">
      <c r="E266" t="s">
        <v>319</v>
      </c>
      <c r="F266" t="str">
        <f>值集数据!$E$70</f>
        <v>hpfm_lov-298</v>
      </c>
      <c r="G266" t="s">
        <v>304</v>
      </c>
      <c r="H266" t="s">
        <v>615</v>
      </c>
      <c r="I266" t="s">
        <v>616</v>
      </c>
      <c r="J266" t="s">
        <v>616</v>
      </c>
      <c r="M266" t="s">
        <v>73</v>
      </c>
      <c r="O266" t="s">
        <v>321</v>
      </c>
      <c r="S266" t="s">
        <v>74</v>
      </c>
    </row>
    <row r="267" spans="1:20">
      <c r="E267" t="s">
        <v>319</v>
      </c>
      <c r="F267" t="str">
        <f>值集数据!$E$70</f>
        <v>hpfm_lov-298</v>
      </c>
      <c r="G267" t="s">
        <v>304</v>
      </c>
      <c r="H267" t="s">
        <v>617</v>
      </c>
      <c r="I267" t="s">
        <v>618</v>
      </c>
      <c r="J267" t="s">
        <v>618</v>
      </c>
      <c r="M267" t="s">
        <v>73</v>
      </c>
      <c r="O267" t="s">
        <v>322</v>
      </c>
      <c r="S267" t="s">
        <v>74</v>
      </c>
    </row>
    <row r="269" spans="1:20">
      <c r="A269" t="s">
        <v>50</v>
      </c>
      <c r="B269" t="s">
        <v>51</v>
      </c>
      <c r="C269" t="s">
        <v>619</v>
      </c>
      <c r="D269" s="44" t="s">
        <v>620</v>
      </c>
      <c r="E269" s="45" t="s">
        <v>621</v>
      </c>
      <c r="F269" s="46" t="s">
        <v>622</v>
      </c>
      <c r="G269" t="s">
        <v>623</v>
      </c>
      <c r="H269" t="s">
        <v>624</v>
      </c>
      <c r="I269" s="47" t="s">
        <v>625</v>
      </c>
      <c r="J269" s="48" t="s">
        <v>62</v>
      </c>
      <c r="K269" t="s">
        <v>67</v>
      </c>
      <c r="L269" t="s">
        <v>68</v>
      </c>
      <c r="M269" t="s">
        <v>626</v>
      </c>
      <c r="N269" t="s">
        <v>627</v>
      </c>
      <c r="O269" t="s">
        <v>628</v>
      </c>
      <c r="P269" t="s">
        <v>629</v>
      </c>
      <c r="Q269" t="s">
        <v>630</v>
      </c>
      <c r="R269" t="s">
        <v>631</v>
      </c>
      <c r="S269" t="s">
        <v>632</v>
      </c>
      <c r="T269" t="s">
        <v>70</v>
      </c>
    </row>
    <row r="270" spans="1:20">
      <c r="E270" t="s">
        <v>633</v>
      </c>
      <c r="F270" t="s">
        <v>81</v>
      </c>
      <c r="G270" t="s">
        <v>82</v>
      </c>
      <c r="H270" t="s">
        <v>82</v>
      </c>
      <c r="I270" t="str">
        <f>值集数据!$E$8</f>
        <v>hpfm_lov-41</v>
      </c>
      <c r="J270" t="s">
        <v>73</v>
      </c>
      <c r="K270" t="s">
        <v>634</v>
      </c>
      <c r="L270" t="s">
        <v>634</v>
      </c>
      <c r="M270" t="s">
        <v>635</v>
      </c>
      <c r="N270" t="s">
        <v>635</v>
      </c>
      <c r="Q270" t="s">
        <v>321</v>
      </c>
      <c r="R270" t="s">
        <v>73</v>
      </c>
      <c r="T270" t="s">
        <v>74</v>
      </c>
    </row>
    <row r="271" spans="1:20">
      <c r="E271" t="s">
        <v>636</v>
      </c>
      <c r="F271" t="s">
        <v>86</v>
      </c>
      <c r="G271" t="s">
        <v>637</v>
      </c>
      <c r="H271" t="s">
        <v>637</v>
      </c>
      <c r="I271" t="str">
        <f>值集数据!$E$9</f>
        <v>hpfm_lov-42</v>
      </c>
      <c r="J271" t="s">
        <v>73</v>
      </c>
      <c r="K271" t="s">
        <v>638</v>
      </c>
      <c r="L271" t="s">
        <v>638</v>
      </c>
      <c r="M271" t="s">
        <v>639</v>
      </c>
      <c r="N271" t="s">
        <v>639</v>
      </c>
      <c r="Q271" t="s">
        <v>321</v>
      </c>
      <c r="R271" t="s">
        <v>73</v>
      </c>
      <c r="T271" t="s">
        <v>74</v>
      </c>
    </row>
    <row r="272" spans="1:20">
      <c r="E272" t="s">
        <v>640</v>
      </c>
      <c r="F272" t="s">
        <v>196</v>
      </c>
      <c r="G272" t="s">
        <v>197</v>
      </c>
      <c r="H272" t="s">
        <v>197</v>
      </c>
      <c r="I272" t="str">
        <f>值集数据!$E$40</f>
        <v>hpfm_lov-191</v>
      </c>
      <c r="J272" t="s">
        <v>73</v>
      </c>
      <c r="K272" t="s">
        <v>91</v>
      </c>
      <c r="L272" t="s">
        <v>92</v>
      </c>
      <c r="M272" t="s">
        <v>641</v>
      </c>
      <c r="N272" t="s">
        <v>641</v>
      </c>
      <c r="Q272" t="s">
        <v>321</v>
      </c>
      <c r="R272" t="s">
        <v>73</v>
      </c>
      <c r="T272" t="s">
        <v>74</v>
      </c>
    </row>
    <row r="273" spans="5:20">
      <c r="E273" t="s">
        <v>642</v>
      </c>
      <c r="F273" t="s">
        <v>199</v>
      </c>
      <c r="G273" t="s">
        <v>200</v>
      </c>
      <c r="H273" t="s">
        <v>200</v>
      </c>
      <c r="I273" t="str">
        <f>值集数据!$E$41</f>
        <v>hpfm_lov-192</v>
      </c>
      <c r="J273" t="s">
        <v>73</v>
      </c>
      <c r="K273" t="s">
        <v>91</v>
      </c>
      <c r="L273" t="s">
        <v>92</v>
      </c>
      <c r="M273" t="s">
        <v>643</v>
      </c>
      <c r="N273" t="s">
        <v>643</v>
      </c>
      <c r="Q273" t="s">
        <v>321</v>
      </c>
      <c r="R273" t="s">
        <v>73</v>
      </c>
      <c r="T273" t="s">
        <v>74</v>
      </c>
    </row>
    <row r="274" spans="5:20">
      <c r="E274" t="s">
        <v>644</v>
      </c>
      <c r="F274" t="s">
        <v>169</v>
      </c>
      <c r="G274" t="s">
        <v>170</v>
      </c>
      <c r="H274" t="s">
        <v>170</v>
      </c>
      <c r="I274" t="str">
        <f>值集数据!$E$33</f>
        <v>hpfm_lov-156</v>
      </c>
      <c r="J274" t="s">
        <v>73</v>
      </c>
      <c r="K274" t="s">
        <v>91</v>
      </c>
      <c r="L274" t="s">
        <v>92</v>
      </c>
      <c r="M274" t="s">
        <v>645</v>
      </c>
      <c r="N274" t="s">
        <v>645</v>
      </c>
      <c r="Q274" t="s">
        <v>321</v>
      </c>
      <c r="R274" t="s">
        <v>73</v>
      </c>
      <c r="T274" t="s">
        <v>74</v>
      </c>
    </row>
    <row r="275" spans="5:20">
      <c r="E275" t="s">
        <v>646</v>
      </c>
      <c r="F275" t="s">
        <v>254</v>
      </c>
      <c r="G275" t="s">
        <v>255</v>
      </c>
      <c r="I275" t="str">
        <f>值集数据!$E$56</f>
        <v>hpfm_lov-271</v>
      </c>
      <c r="J275" t="s">
        <v>73</v>
      </c>
      <c r="K275" t="s">
        <v>208</v>
      </c>
      <c r="L275" t="s">
        <v>215</v>
      </c>
      <c r="Q275" t="s">
        <v>321</v>
      </c>
      <c r="R275" t="s">
        <v>73</v>
      </c>
      <c r="T275" t="s">
        <v>74</v>
      </c>
    </row>
    <row r="276" spans="5:20">
      <c r="E276" t="s">
        <v>647</v>
      </c>
      <c r="F276" t="s">
        <v>259</v>
      </c>
      <c r="G276" t="s">
        <v>260</v>
      </c>
      <c r="I276" t="str">
        <f>值集数据!$E$57</f>
        <v>hpfm_lov-276</v>
      </c>
      <c r="J276" t="s">
        <v>73</v>
      </c>
      <c r="K276" t="s">
        <v>638</v>
      </c>
      <c r="L276" t="s">
        <v>648</v>
      </c>
      <c r="Q276" t="s">
        <v>321</v>
      </c>
      <c r="R276" t="s">
        <v>73</v>
      </c>
      <c r="T276" t="s">
        <v>74</v>
      </c>
    </row>
    <row r="277" spans="5:20">
      <c r="E277" t="s">
        <v>649</v>
      </c>
      <c r="F277" t="s">
        <v>161</v>
      </c>
      <c r="G277" t="s">
        <v>162</v>
      </c>
      <c r="H277" t="s">
        <v>162</v>
      </c>
      <c r="I277" t="str">
        <f>值集数据!$E$31</f>
        <v>hpfm_lov-153</v>
      </c>
      <c r="J277" t="s">
        <v>73</v>
      </c>
      <c r="K277" t="s">
        <v>91</v>
      </c>
      <c r="L277" t="s">
        <v>92</v>
      </c>
      <c r="M277" t="s">
        <v>650</v>
      </c>
      <c r="N277" t="s">
        <v>650</v>
      </c>
      <c r="Q277" t="s">
        <v>321</v>
      </c>
      <c r="R277" t="s">
        <v>73</v>
      </c>
      <c r="T277" t="s">
        <v>74</v>
      </c>
    </row>
    <row r="278" spans="5:20">
      <c r="E278" t="s">
        <v>651</v>
      </c>
      <c r="F278" t="s">
        <v>205</v>
      </c>
      <c r="G278" t="s">
        <v>206</v>
      </c>
      <c r="H278" t="s">
        <v>206</v>
      </c>
      <c r="I278" t="str">
        <f>值集数据!$E$43</f>
        <v>hpfm_lov-195</v>
      </c>
      <c r="J278" t="s">
        <v>73</v>
      </c>
      <c r="K278" t="s">
        <v>208</v>
      </c>
      <c r="L278" t="s">
        <v>209</v>
      </c>
      <c r="M278" t="s">
        <v>652</v>
      </c>
      <c r="N278" t="s">
        <v>652</v>
      </c>
      <c r="Q278" t="s">
        <v>321</v>
      </c>
      <c r="R278" t="s">
        <v>73</v>
      </c>
      <c r="T278" t="s">
        <v>74</v>
      </c>
    </row>
    <row r="279" spans="5:20">
      <c r="E279" t="s">
        <v>653</v>
      </c>
      <c r="F279" t="s">
        <v>211</v>
      </c>
      <c r="G279" t="s">
        <v>212</v>
      </c>
      <c r="H279" t="s">
        <v>212</v>
      </c>
      <c r="I279" t="str">
        <f>值集数据!$E$44</f>
        <v>hpfm_lov-196</v>
      </c>
      <c r="J279" t="s">
        <v>73</v>
      </c>
      <c r="K279" t="s">
        <v>214</v>
      </c>
      <c r="L279" t="s">
        <v>215</v>
      </c>
      <c r="M279" t="s">
        <v>654</v>
      </c>
      <c r="N279" t="s">
        <v>654</v>
      </c>
      <c r="Q279" t="s">
        <v>321</v>
      </c>
      <c r="R279" t="s">
        <v>73</v>
      </c>
      <c r="T279" t="s">
        <v>74</v>
      </c>
    </row>
    <row r="280" spans="5:20">
      <c r="E280" t="s">
        <v>655</v>
      </c>
      <c r="F280" t="s">
        <v>233</v>
      </c>
      <c r="G280" t="s">
        <v>206</v>
      </c>
      <c r="H280" t="s">
        <v>656</v>
      </c>
      <c r="I280" t="str">
        <f>值集数据!$E$49</f>
        <v>hpfm_lov-247</v>
      </c>
      <c r="J280" t="s">
        <v>73</v>
      </c>
      <c r="K280" t="s">
        <v>208</v>
      </c>
      <c r="L280" t="s">
        <v>215</v>
      </c>
      <c r="Q280" t="s">
        <v>321</v>
      </c>
      <c r="R280" t="s">
        <v>73</v>
      </c>
      <c r="T280" t="s">
        <v>74</v>
      </c>
    </row>
    <row r="281" spans="5:20">
      <c r="E281" t="s">
        <v>657</v>
      </c>
      <c r="F281" t="s">
        <v>228</v>
      </c>
      <c r="G281" t="s">
        <v>230</v>
      </c>
      <c r="H281" t="s">
        <v>230</v>
      </c>
      <c r="I281" t="str">
        <f>值集数据!$E$48</f>
        <v>hpfm_lov-246</v>
      </c>
      <c r="J281" t="s">
        <v>73</v>
      </c>
      <c r="K281" t="s">
        <v>658</v>
      </c>
      <c r="L281" t="s">
        <v>659</v>
      </c>
      <c r="Q281" t="s">
        <v>321</v>
      </c>
      <c r="R281" t="s">
        <v>73</v>
      </c>
      <c r="T281" t="s">
        <v>74</v>
      </c>
    </row>
    <row r="282" spans="5:20">
      <c r="E282" t="s">
        <v>660</v>
      </c>
      <c r="F282" t="s">
        <v>134</v>
      </c>
      <c r="G282" t="s">
        <v>661</v>
      </c>
      <c r="H282" t="s">
        <v>661</v>
      </c>
      <c r="I282" t="str">
        <f>值集数据!$E$23</f>
        <v>hpfm_lov-143</v>
      </c>
      <c r="J282" t="s">
        <v>73</v>
      </c>
      <c r="K282" t="s">
        <v>92</v>
      </c>
      <c r="L282" t="s">
        <v>92</v>
      </c>
      <c r="M282" t="s">
        <v>662</v>
      </c>
      <c r="N282" t="s">
        <v>662</v>
      </c>
      <c r="Q282" t="s">
        <v>321</v>
      </c>
      <c r="R282" t="s">
        <v>73</v>
      </c>
      <c r="T282" t="s">
        <v>74</v>
      </c>
    </row>
    <row r="283" spans="5:20">
      <c r="E283" t="s">
        <v>663</v>
      </c>
      <c r="F283" t="s">
        <v>282</v>
      </c>
      <c r="G283" t="s">
        <v>283</v>
      </c>
      <c r="H283" t="s">
        <v>283</v>
      </c>
      <c r="I283" t="str">
        <f>值集数据!$E$64</f>
        <v>hpfm_lov-292</v>
      </c>
      <c r="J283" t="s">
        <v>73</v>
      </c>
      <c r="K283" t="s">
        <v>664</v>
      </c>
      <c r="L283" t="s">
        <v>79</v>
      </c>
      <c r="Q283" t="s">
        <v>321</v>
      </c>
      <c r="R283" t="s">
        <v>73</v>
      </c>
      <c r="T283" t="s">
        <v>74</v>
      </c>
    </row>
    <row r="284" spans="5:20">
      <c r="E284" t="s">
        <v>665</v>
      </c>
      <c r="F284" t="s">
        <v>179</v>
      </c>
      <c r="G284" t="s">
        <v>666</v>
      </c>
      <c r="H284" t="s">
        <v>666</v>
      </c>
      <c r="I284" t="str">
        <f>值集数据!$E$36</f>
        <v>hpfm_lov-162</v>
      </c>
      <c r="J284" t="s">
        <v>73</v>
      </c>
      <c r="K284" t="s">
        <v>182</v>
      </c>
      <c r="L284" t="s">
        <v>183</v>
      </c>
      <c r="M284" t="s">
        <v>667</v>
      </c>
      <c r="N284" t="s">
        <v>667</v>
      </c>
      <c r="Q284" t="s">
        <v>321</v>
      </c>
      <c r="R284" t="s">
        <v>73</v>
      </c>
      <c r="T284" t="s">
        <v>74</v>
      </c>
    </row>
    <row r="285" spans="5:20">
      <c r="E285" t="s">
        <v>668</v>
      </c>
      <c r="F285" t="s">
        <v>149</v>
      </c>
      <c r="G285" t="s">
        <v>669</v>
      </c>
      <c r="H285" t="s">
        <v>669</v>
      </c>
      <c r="I285" t="str">
        <f>值集数据!$E$28</f>
        <v>hpfm_lov-150</v>
      </c>
      <c r="J285" t="s">
        <v>73</v>
      </c>
      <c r="K285" t="s">
        <v>91</v>
      </c>
      <c r="L285" t="s">
        <v>92</v>
      </c>
      <c r="M285" t="s">
        <v>670</v>
      </c>
      <c r="N285" t="s">
        <v>670</v>
      </c>
      <c r="Q285" t="s">
        <v>321</v>
      </c>
      <c r="R285" t="s">
        <v>73</v>
      </c>
      <c r="T285" t="s">
        <v>74</v>
      </c>
    </row>
    <row r="286" spans="5:20">
      <c r="E286" t="s">
        <v>671</v>
      </c>
      <c r="F286" t="s">
        <v>128</v>
      </c>
      <c r="G286" t="s">
        <v>672</v>
      </c>
      <c r="H286" t="s">
        <v>672</v>
      </c>
      <c r="I286" t="str">
        <f>值集数据!$E$21</f>
        <v>hpfm_lov-140</v>
      </c>
      <c r="J286" t="s">
        <v>73</v>
      </c>
      <c r="K286" t="s">
        <v>91</v>
      </c>
      <c r="L286" t="s">
        <v>92</v>
      </c>
      <c r="M286" t="s">
        <v>673</v>
      </c>
      <c r="N286" t="s">
        <v>673</v>
      </c>
      <c r="Q286" t="s">
        <v>321</v>
      </c>
      <c r="R286" t="s">
        <v>73</v>
      </c>
      <c r="T286" t="s">
        <v>74</v>
      </c>
    </row>
    <row r="287" spans="5:20">
      <c r="E287" t="s">
        <v>674</v>
      </c>
      <c r="F287" t="s">
        <v>131</v>
      </c>
      <c r="G287" t="s">
        <v>132</v>
      </c>
      <c r="H287" t="s">
        <v>132</v>
      </c>
      <c r="I287" t="str">
        <f>值集数据!$E$22</f>
        <v>hpfm_lov-141</v>
      </c>
      <c r="J287" t="s">
        <v>73</v>
      </c>
      <c r="K287" t="s">
        <v>91</v>
      </c>
      <c r="L287" t="s">
        <v>91</v>
      </c>
      <c r="M287" t="s">
        <v>675</v>
      </c>
      <c r="N287" t="s">
        <v>675</v>
      </c>
      <c r="Q287" t="s">
        <v>321</v>
      </c>
      <c r="R287" t="s">
        <v>73</v>
      </c>
      <c r="T287" t="s">
        <v>74</v>
      </c>
    </row>
    <row r="288" spans="5:20">
      <c r="E288" t="s">
        <v>676</v>
      </c>
      <c r="F288" t="s">
        <v>158</v>
      </c>
      <c r="G288" t="s">
        <v>159</v>
      </c>
      <c r="H288" t="s">
        <v>159</v>
      </c>
      <c r="I288" t="str">
        <f>值集数据!$E$30</f>
        <v>hpfm_lov-152</v>
      </c>
      <c r="J288" t="s">
        <v>73</v>
      </c>
      <c r="K288" t="s">
        <v>91</v>
      </c>
      <c r="L288" t="s">
        <v>92</v>
      </c>
      <c r="M288" t="s">
        <v>677</v>
      </c>
      <c r="N288" t="s">
        <v>677</v>
      </c>
      <c r="Q288" t="s">
        <v>321</v>
      </c>
      <c r="R288" t="s">
        <v>73</v>
      </c>
      <c r="T288" t="s">
        <v>74</v>
      </c>
    </row>
    <row r="289" spans="1:20">
      <c r="E289" t="s">
        <v>678</v>
      </c>
      <c r="F289" t="s">
        <v>119</v>
      </c>
      <c r="G289" t="s">
        <v>679</v>
      </c>
      <c r="H289" t="s">
        <v>679</v>
      </c>
      <c r="I289" t="str">
        <f>值集数据!$E$18</f>
        <v>hpfm_lov-137</v>
      </c>
      <c r="J289" t="s">
        <v>73</v>
      </c>
      <c r="K289" t="s">
        <v>92</v>
      </c>
      <c r="L289" t="s">
        <v>92</v>
      </c>
      <c r="M289" t="s">
        <v>680</v>
      </c>
      <c r="N289" t="s">
        <v>680</v>
      </c>
      <c r="Q289" t="s">
        <v>321</v>
      </c>
      <c r="R289" t="s">
        <v>73</v>
      </c>
      <c r="T289" t="s">
        <v>74</v>
      </c>
    </row>
    <row r="290" spans="1:20">
      <c r="E290" t="s">
        <v>681</v>
      </c>
      <c r="F290" t="s">
        <v>217</v>
      </c>
      <c r="G290" t="s">
        <v>218</v>
      </c>
      <c r="H290" t="s">
        <v>218</v>
      </c>
      <c r="I290" t="str">
        <f>值集数据!$E$45</f>
        <v>hpfm_lov-197</v>
      </c>
      <c r="J290" t="s">
        <v>73</v>
      </c>
      <c r="K290" t="s">
        <v>220</v>
      </c>
      <c r="L290" t="s">
        <v>183</v>
      </c>
      <c r="M290" t="s">
        <v>682</v>
      </c>
      <c r="N290" t="s">
        <v>682</v>
      </c>
      <c r="Q290" t="s">
        <v>321</v>
      </c>
      <c r="R290" t="s">
        <v>73</v>
      </c>
      <c r="T290" t="s">
        <v>74</v>
      </c>
    </row>
    <row r="291" spans="1:20">
      <c r="E291" t="s">
        <v>683</v>
      </c>
      <c r="F291" t="s">
        <v>122</v>
      </c>
      <c r="G291" t="s">
        <v>684</v>
      </c>
      <c r="H291" t="s">
        <v>684</v>
      </c>
      <c r="I291" t="str">
        <f>值集数据!$E$19</f>
        <v>hpfm_lov-138</v>
      </c>
      <c r="J291" t="s">
        <v>73</v>
      </c>
      <c r="K291" t="s">
        <v>91</v>
      </c>
      <c r="L291" t="s">
        <v>92</v>
      </c>
      <c r="M291" t="s">
        <v>685</v>
      </c>
      <c r="N291" t="s">
        <v>685</v>
      </c>
      <c r="Q291" t="s">
        <v>321</v>
      </c>
      <c r="R291" t="s">
        <v>73</v>
      </c>
      <c r="T291" t="s">
        <v>74</v>
      </c>
    </row>
    <row r="292" spans="1:20">
      <c r="E292" t="s">
        <v>686</v>
      </c>
      <c r="F292" t="s">
        <v>164</v>
      </c>
      <c r="G292" t="s">
        <v>687</v>
      </c>
      <c r="H292" t="s">
        <v>687</v>
      </c>
      <c r="I292" t="str">
        <f>值集数据!$E$32</f>
        <v>hpfm_lov-155</v>
      </c>
      <c r="J292" t="s">
        <v>73</v>
      </c>
      <c r="K292" t="s">
        <v>167</v>
      </c>
      <c r="L292" t="s">
        <v>167</v>
      </c>
      <c r="M292" t="s">
        <v>688</v>
      </c>
      <c r="N292" t="s">
        <v>688</v>
      </c>
      <c r="Q292" t="s">
        <v>321</v>
      </c>
      <c r="R292" t="s">
        <v>73</v>
      </c>
      <c r="T292" t="s">
        <v>74</v>
      </c>
    </row>
    <row r="293" spans="1:20">
      <c r="E293" t="s">
        <v>689</v>
      </c>
      <c r="F293" t="s">
        <v>125</v>
      </c>
      <c r="G293" t="s">
        <v>690</v>
      </c>
      <c r="H293" t="s">
        <v>690</v>
      </c>
      <c r="I293" t="str">
        <f>值集数据!$E$20</f>
        <v>hpfm_lov-139</v>
      </c>
      <c r="J293" t="s">
        <v>73</v>
      </c>
      <c r="K293" t="s">
        <v>91</v>
      </c>
      <c r="L293" t="s">
        <v>92</v>
      </c>
      <c r="M293" t="s">
        <v>691</v>
      </c>
      <c r="N293" t="s">
        <v>691</v>
      </c>
      <c r="Q293" t="s">
        <v>321</v>
      </c>
      <c r="R293" t="s">
        <v>73</v>
      </c>
      <c r="T293" t="s">
        <v>74</v>
      </c>
    </row>
    <row r="294" spans="1:20">
      <c r="E294" t="s">
        <v>692</v>
      </c>
      <c r="F294" t="s">
        <v>137</v>
      </c>
      <c r="G294" t="s">
        <v>693</v>
      </c>
      <c r="H294" t="s">
        <v>693</v>
      </c>
      <c r="I294" t="str">
        <f>值集数据!$E$24</f>
        <v>hpfm_lov-144</v>
      </c>
      <c r="J294" t="s">
        <v>73</v>
      </c>
      <c r="K294" t="s">
        <v>91</v>
      </c>
      <c r="L294" t="s">
        <v>92</v>
      </c>
      <c r="M294" t="s">
        <v>694</v>
      </c>
      <c r="N294" t="s">
        <v>694</v>
      </c>
      <c r="Q294" t="s">
        <v>321</v>
      </c>
      <c r="R294" t="s">
        <v>73</v>
      </c>
      <c r="T294" t="s">
        <v>74</v>
      </c>
    </row>
    <row r="295" spans="1:20">
      <c r="E295" t="s">
        <v>695</v>
      </c>
      <c r="F295" t="s">
        <v>175</v>
      </c>
      <c r="G295" t="s">
        <v>696</v>
      </c>
      <c r="H295" t="s">
        <v>696</v>
      </c>
      <c r="I295" t="str">
        <f>值集数据!$E$35</f>
        <v>hpfm_lov-159</v>
      </c>
      <c r="J295" t="s">
        <v>73</v>
      </c>
      <c r="K295" t="s">
        <v>208</v>
      </c>
      <c r="L295" t="s">
        <v>209</v>
      </c>
      <c r="M295" t="s">
        <v>697</v>
      </c>
      <c r="N295" t="s">
        <v>697</v>
      </c>
      <c r="Q295" t="s">
        <v>321</v>
      </c>
      <c r="R295" t="s">
        <v>73</v>
      </c>
      <c r="T295" t="s">
        <v>74</v>
      </c>
    </row>
    <row r="296" spans="1:20">
      <c r="E296" t="s">
        <v>698</v>
      </c>
      <c r="F296" t="s">
        <v>140</v>
      </c>
      <c r="G296" t="s">
        <v>699</v>
      </c>
      <c r="H296" t="s">
        <v>699</v>
      </c>
      <c r="I296" t="str">
        <f>值集数据!$E$25</f>
        <v>hpfm_lov-147</v>
      </c>
      <c r="J296" t="s">
        <v>73</v>
      </c>
      <c r="K296" t="s">
        <v>91</v>
      </c>
      <c r="L296" t="s">
        <v>92</v>
      </c>
      <c r="M296" t="s">
        <v>700</v>
      </c>
      <c r="N296" t="s">
        <v>700</v>
      </c>
      <c r="Q296" t="s">
        <v>321</v>
      </c>
      <c r="R296" t="s">
        <v>73</v>
      </c>
      <c r="T296" t="s">
        <v>74</v>
      </c>
    </row>
    <row r="297" spans="1:20">
      <c r="E297" t="s">
        <v>701</v>
      </c>
      <c r="F297" t="s">
        <v>186</v>
      </c>
      <c r="G297" t="s">
        <v>187</v>
      </c>
      <c r="H297" t="s">
        <v>187</v>
      </c>
      <c r="I297" t="str">
        <f>值集数据!$E$37</f>
        <v>hpfm_lov-181</v>
      </c>
      <c r="J297" t="s">
        <v>73</v>
      </c>
      <c r="K297" t="s">
        <v>155</v>
      </c>
      <c r="L297" t="s">
        <v>156</v>
      </c>
      <c r="M297" t="s">
        <v>702</v>
      </c>
      <c r="N297" t="s">
        <v>702</v>
      </c>
      <c r="Q297" t="s">
        <v>321</v>
      </c>
      <c r="R297" t="s">
        <v>73</v>
      </c>
      <c r="T297" t="s">
        <v>74</v>
      </c>
    </row>
    <row r="298" spans="1:20">
      <c r="E298" t="s">
        <v>703</v>
      </c>
      <c r="F298" t="s">
        <v>143</v>
      </c>
      <c r="G298" t="s">
        <v>144</v>
      </c>
      <c r="H298" t="s">
        <v>144</v>
      </c>
      <c r="I298" t="str">
        <f>值集数据!$E$26</f>
        <v>hpfm_lov-148</v>
      </c>
      <c r="J298" t="s">
        <v>73</v>
      </c>
      <c r="K298" t="s">
        <v>91</v>
      </c>
      <c r="L298" t="s">
        <v>92</v>
      </c>
      <c r="M298" t="s">
        <v>704</v>
      </c>
      <c r="N298" t="s">
        <v>704</v>
      </c>
      <c r="Q298" t="s">
        <v>321</v>
      </c>
      <c r="R298" t="s">
        <v>73</v>
      </c>
      <c r="T298" t="s">
        <v>74</v>
      </c>
    </row>
    <row r="299" spans="1:20">
      <c r="E299" t="s">
        <v>705</v>
      </c>
      <c r="F299" t="s">
        <v>146</v>
      </c>
      <c r="G299" t="s">
        <v>147</v>
      </c>
      <c r="H299" t="s">
        <v>147</v>
      </c>
      <c r="I299" t="str">
        <f>值集数据!$E$27</f>
        <v>hpfm_lov-149</v>
      </c>
      <c r="J299" t="s">
        <v>73</v>
      </c>
      <c r="K299" t="s">
        <v>91</v>
      </c>
      <c r="L299" t="s">
        <v>92</v>
      </c>
      <c r="M299" t="s">
        <v>706</v>
      </c>
      <c r="N299" t="s">
        <v>706</v>
      </c>
      <c r="Q299" t="s">
        <v>321</v>
      </c>
      <c r="R299" t="s">
        <v>73</v>
      </c>
      <c r="T299" t="s">
        <v>74</v>
      </c>
    </row>
    <row r="300" spans="1:20">
      <c r="E300" t="s">
        <v>707</v>
      </c>
      <c r="F300" t="s">
        <v>152</v>
      </c>
      <c r="G300" t="s">
        <v>447</v>
      </c>
      <c r="H300" t="s">
        <v>447</v>
      </c>
      <c r="I300" t="str">
        <f>值集数据!$E$29</f>
        <v>hpfm_lov-151</v>
      </c>
      <c r="J300" t="s">
        <v>73</v>
      </c>
      <c r="K300" t="s">
        <v>155</v>
      </c>
      <c r="L300" t="s">
        <v>156</v>
      </c>
      <c r="M300" t="s">
        <v>702</v>
      </c>
      <c r="N300" t="s">
        <v>702</v>
      </c>
      <c r="Q300" t="s">
        <v>321</v>
      </c>
      <c r="R300" t="s">
        <v>73</v>
      </c>
      <c r="T300" t="s">
        <v>74</v>
      </c>
    </row>
    <row r="302" spans="1:20">
      <c r="A302" t="s">
        <v>50</v>
      </c>
      <c r="B302" t="s">
        <v>51</v>
      </c>
      <c r="C302" t="s">
        <v>708</v>
      </c>
      <c r="D302" s="49" t="s">
        <v>709</v>
      </c>
      <c r="E302" s="50" t="s">
        <v>710</v>
      </c>
      <c r="F302" s="51" t="s">
        <v>711</v>
      </c>
      <c r="G302" t="s">
        <v>712</v>
      </c>
      <c r="H302" s="52" t="s">
        <v>625</v>
      </c>
      <c r="I302" t="s">
        <v>713</v>
      </c>
      <c r="J302" t="s">
        <v>714</v>
      </c>
      <c r="K302" t="s">
        <v>315</v>
      </c>
      <c r="L302" s="53" t="s">
        <v>715</v>
      </c>
      <c r="M302" t="s">
        <v>716</v>
      </c>
      <c r="N302" t="s">
        <v>717</v>
      </c>
      <c r="O302" t="s">
        <v>718</v>
      </c>
      <c r="P302" t="s">
        <v>70</v>
      </c>
    </row>
    <row r="303" spans="1:20">
      <c r="E303" t="s">
        <v>719</v>
      </c>
      <c r="F303" t="str">
        <f>值集数据!$E$270</f>
        <v>hpfm_lov_view_header-1059</v>
      </c>
      <c r="G303" t="s">
        <v>73</v>
      </c>
      <c r="H303" t="str">
        <f>值集数据!$E$8</f>
        <v>hpfm_lov-41</v>
      </c>
      <c r="I303" t="s">
        <v>720</v>
      </c>
      <c r="J303" t="s">
        <v>720</v>
      </c>
      <c r="K303" t="s">
        <v>321</v>
      </c>
      <c r="L303" t="s">
        <v>634</v>
      </c>
      <c r="M303" t="s">
        <v>74</v>
      </c>
      <c r="N303" t="s">
        <v>74</v>
      </c>
      <c r="O303" t="s">
        <v>374</v>
      </c>
      <c r="P303" t="s">
        <v>74</v>
      </c>
    </row>
    <row r="304" spans="1:20">
      <c r="E304" t="s">
        <v>721</v>
      </c>
      <c r="F304" t="str">
        <f>值集数据!$E$271</f>
        <v>hpfm_lov_view_header-1060</v>
      </c>
      <c r="G304" t="s">
        <v>73</v>
      </c>
      <c r="H304" t="str">
        <f>值集数据!$E$9</f>
        <v>hpfm_lov-42</v>
      </c>
      <c r="I304" t="s">
        <v>722</v>
      </c>
      <c r="J304" t="s">
        <v>722</v>
      </c>
      <c r="K304" t="s">
        <v>320</v>
      </c>
      <c r="L304" t="s">
        <v>723</v>
      </c>
      <c r="M304" t="s">
        <v>74</v>
      </c>
      <c r="N304" t="s">
        <v>74</v>
      </c>
      <c r="O304" t="s">
        <v>373</v>
      </c>
      <c r="P304" t="s">
        <v>74</v>
      </c>
    </row>
    <row r="305" spans="5:16">
      <c r="E305" t="s">
        <v>724</v>
      </c>
      <c r="F305" t="str">
        <f>值集数据!$E$272</f>
        <v>hpfm_lov_view_header-1061</v>
      </c>
      <c r="G305" t="s">
        <v>73</v>
      </c>
      <c r="H305" t="str">
        <f>值集数据!$E$40</f>
        <v>hpfm_lov-191</v>
      </c>
      <c r="I305" t="s">
        <v>725</v>
      </c>
      <c r="J305" t="s">
        <v>725</v>
      </c>
      <c r="K305" t="s">
        <v>338</v>
      </c>
      <c r="L305" t="s">
        <v>92</v>
      </c>
      <c r="M305" t="s">
        <v>74</v>
      </c>
      <c r="N305" t="s">
        <v>74</v>
      </c>
      <c r="O305" t="s">
        <v>338</v>
      </c>
      <c r="P305" t="s">
        <v>74</v>
      </c>
    </row>
    <row r="306" spans="5:16">
      <c r="E306" t="s">
        <v>726</v>
      </c>
      <c r="F306" t="str">
        <f>值集数据!$E$272</f>
        <v>hpfm_lov_view_header-1061</v>
      </c>
      <c r="G306" t="s">
        <v>73</v>
      </c>
      <c r="H306" t="str">
        <f>值集数据!$E$40</f>
        <v>hpfm_lov-191</v>
      </c>
      <c r="I306" t="s">
        <v>727</v>
      </c>
      <c r="J306" t="s">
        <v>727</v>
      </c>
      <c r="K306" t="s">
        <v>338</v>
      </c>
      <c r="L306" t="s">
        <v>91</v>
      </c>
      <c r="M306" t="s">
        <v>74</v>
      </c>
      <c r="N306" t="s">
        <v>74</v>
      </c>
      <c r="O306" t="s">
        <v>338</v>
      </c>
      <c r="P306" t="s">
        <v>74</v>
      </c>
    </row>
    <row r="307" spans="5:16">
      <c r="E307" t="s">
        <v>728</v>
      </c>
      <c r="F307" t="str">
        <f>值集数据!$E$273</f>
        <v>hpfm_lov_view_header-1062</v>
      </c>
      <c r="G307" t="s">
        <v>73</v>
      </c>
      <c r="H307" t="str">
        <f>值集数据!$E$41</f>
        <v>hpfm_lov-192</v>
      </c>
      <c r="I307" t="s">
        <v>725</v>
      </c>
      <c r="J307" t="s">
        <v>725</v>
      </c>
      <c r="K307" t="s">
        <v>338</v>
      </c>
      <c r="L307" t="s">
        <v>92</v>
      </c>
      <c r="M307" t="s">
        <v>74</v>
      </c>
      <c r="N307" t="s">
        <v>74</v>
      </c>
      <c r="O307" t="s">
        <v>338</v>
      </c>
      <c r="P307" t="s">
        <v>74</v>
      </c>
    </row>
    <row r="308" spans="5:16">
      <c r="E308" t="s">
        <v>729</v>
      </c>
      <c r="F308" t="str">
        <f>值集数据!$E$273</f>
        <v>hpfm_lov_view_header-1062</v>
      </c>
      <c r="G308" t="s">
        <v>73</v>
      </c>
      <c r="H308" t="str">
        <f>值集数据!$E$41</f>
        <v>hpfm_lov-192</v>
      </c>
      <c r="I308" t="s">
        <v>727</v>
      </c>
      <c r="J308" t="s">
        <v>727</v>
      </c>
      <c r="K308" t="s">
        <v>338</v>
      </c>
      <c r="L308" t="s">
        <v>91</v>
      </c>
      <c r="M308" t="s">
        <v>74</v>
      </c>
      <c r="N308" t="s">
        <v>74</v>
      </c>
      <c r="O308" t="s">
        <v>338</v>
      </c>
      <c r="P308" t="s">
        <v>74</v>
      </c>
    </row>
    <row r="309" spans="5:16">
      <c r="E309" t="s">
        <v>730</v>
      </c>
      <c r="F309" t="str">
        <f>值集数据!$E$274</f>
        <v>hpfm_lov_view_header-1063</v>
      </c>
      <c r="G309" t="s">
        <v>73</v>
      </c>
      <c r="H309" t="str">
        <f>值集数据!$E$33</f>
        <v>hpfm_lov-156</v>
      </c>
      <c r="I309" t="s">
        <v>725</v>
      </c>
      <c r="J309" t="s">
        <v>725</v>
      </c>
      <c r="K309" t="s">
        <v>338</v>
      </c>
      <c r="L309" t="s">
        <v>92</v>
      </c>
      <c r="M309" t="s">
        <v>74</v>
      </c>
      <c r="N309" t="s">
        <v>74</v>
      </c>
      <c r="O309" t="s">
        <v>338</v>
      </c>
      <c r="P309" t="s">
        <v>74</v>
      </c>
    </row>
    <row r="310" spans="5:16">
      <c r="E310" t="s">
        <v>731</v>
      </c>
      <c r="F310" t="str">
        <f>值集数据!$E$274</f>
        <v>hpfm_lov_view_header-1063</v>
      </c>
      <c r="G310" t="s">
        <v>73</v>
      </c>
      <c r="H310" t="str">
        <f>值集数据!$E$33</f>
        <v>hpfm_lov-156</v>
      </c>
      <c r="I310" t="s">
        <v>727</v>
      </c>
      <c r="J310" t="s">
        <v>727</v>
      </c>
      <c r="K310" t="s">
        <v>338</v>
      </c>
      <c r="L310" t="s">
        <v>91</v>
      </c>
      <c r="M310" t="s">
        <v>74</v>
      </c>
      <c r="N310" t="s">
        <v>74</v>
      </c>
      <c r="O310" t="s">
        <v>338</v>
      </c>
      <c r="P310" t="s">
        <v>74</v>
      </c>
    </row>
    <row r="311" spans="5:16">
      <c r="E311" t="s">
        <v>732</v>
      </c>
      <c r="F311" t="str">
        <f>值集数据!$E$275</f>
        <v>hpfm_lov_view_header-1064</v>
      </c>
      <c r="G311" t="s">
        <v>73</v>
      </c>
      <c r="H311" t="str">
        <f>值集数据!$E$56</f>
        <v>hpfm_lov-271</v>
      </c>
      <c r="I311" t="s">
        <v>733</v>
      </c>
      <c r="J311" t="s">
        <v>733</v>
      </c>
      <c r="K311" t="s">
        <v>322</v>
      </c>
      <c r="L311" t="s">
        <v>215</v>
      </c>
      <c r="M311" t="s">
        <v>74</v>
      </c>
      <c r="N311" t="s">
        <v>74</v>
      </c>
      <c r="O311" t="s">
        <v>338</v>
      </c>
      <c r="P311" t="s">
        <v>74</v>
      </c>
    </row>
    <row r="312" spans="5:16">
      <c r="E312" t="s">
        <v>734</v>
      </c>
      <c r="F312" t="str">
        <f>值集数据!$E$275</f>
        <v>hpfm_lov_view_header-1064</v>
      </c>
      <c r="G312" t="s">
        <v>73</v>
      </c>
      <c r="H312" t="str">
        <f>值集数据!$E$56</f>
        <v>hpfm_lov-271</v>
      </c>
      <c r="I312" t="s">
        <v>735</v>
      </c>
      <c r="J312" t="s">
        <v>735</v>
      </c>
      <c r="K312" t="s">
        <v>321</v>
      </c>
      <c r="L312" t="s">
        <v>208</v>
      </c>
      <c r="M312" t="s">
        <v>73</v>
      </c>
      <c r="N312" t="s">
        <v>73</v>
      </c>
      <c r="O312" t="s">
        <v>325</v>
      </c>
      <c r="P312" t="s">
        <v>74</v>
      </c>
    </row>
    <row r="313" spans="5:16">
      <c r="E313" t="s">
        <v>736</v>
      </c>
      <c r="F313" t="str">
        <f>值集数据!$E$275</f>
        <v>hpfm_lov_view_header-1064</v>
      </c>
      <c r="G313" t="s">
        <v>73</v>
      </c>
      <c r="H313" t="str">
        <f>值集数据!$E$56</f>
        <v>hpfm_lov-271</v>
      </c>
      <c r="I313" t="s">
        <v>737</v>
      </c>
      <c r="J313" t="s">
        <v>737</v>
      </c>
      <c r="K313" t="s">
        <v>323</v>
      </c>
      <c r="L313" t="s">
        <v>209</v>
      </c>
      <c r="M313" t="s">
        <v>74</v>
      </c>
      <c r="N313" t="s">
        <v>74</v>
      </c>
      <c r="O313" t="s">
        <v>338</v>
      </c>
      <c r="P313" t="s">
        <v>74</v>
      </c>
    </row>
    <row r="314" spans="5:16">
      <c r="E314" t="s">
        <v>738</v>
      </c>
      <c r="F314" t="str">
        <f>值集数据!$E$275</f>
        <v>hpfm_lov_view_header-1064</v>
      </c>
      <c r="G314" t="s">
        <v>73</v>
      </c>
      <c r="H314" t="str">
        <f>值集数据!$E$56</f>
        <v>hpfm_lov-271</v>
      </c>
      <c r="I314" t="s">
        <v>739</v>
      </c>
      <c r="J314" t="s">
        <v>739</v>
      </c>
      <c r="K314" t="s">
        <v>324</v>
      </c>
      <c r="L314" t="s">
        <v>648</v>
      </c>
      <c r="M314" t="s">
        <v>73</v>
      </c>
      <c r="N314" t="s">
        <v>73</v>
      </c>
      <c r="O314" t="s">
        <v>338</v>
      </c>
      <c r="P314" t="s">
        <v>74</v>
      </c>
    </row>
    <row r="315" spans="5:16">
      <c r="E315" t="s">
        <v>740</v>
      </c>
      <c r="F315" t="str">
        <f>值集数据!$E$276</f>
        <v>hpfm_lov_view_header-1065</v>
      </c>
      <c r="G315" t="s">
        <v>73</v>
      </c>
      <c r="H315" t="str">
        <f>值集数据!$E$57</f>
        <v>hpfm_lov-276</v>
      </c>
      <c r="I315" t="s">
        <v>741</v>
      </c>
      <c r="J315" t="s">
        <v>741</v>
      </c>
      <c r="K315" t="s">
        <v>321</v>
      </c>
      <c r="L315" t="s">
        <v>638</v>
      </c>
      <c r="M315" t="s">
        <v>73</v>
      </c>
      <c r="N315" t="s">
        <v>73</v>
      </c>
      <c r="O315" t="s">
        <v>325</v>
      </c>
      <c r="P315" t="s">
        <v>74</v>
      </c>
    </row>
    <row r="316" spans="5:16">
      <c r="E316" t="s">
        <v>742</v>
      </c>
      <c r="F316" t="str">
        <f>值集数据!$E$276</f>
        <v>hpfm_lov_view_header-1065</v>
      </c>
      <c r="G316" t="s">
        <v>73</v>
      </c>
      <c r="H316" t="str">
        <f>值集数据!$E$57</f>
        <v>hpfm_lov-276</v>
      </c>
      <c r="I316" t="s">
        <v>739</v>
      </c>
      <c r="J316" t="s">
        <v>739</v>
      </c>
      <c r="K316" t="s">
        <v>322</v>
      </c>
      <c r="L316" t="s">
        <v>648</v>
      </c>
      <c r="M316" t="s">
        <v>74</v>
      </c>
      <c r="N316" t="s">
        <v>74</v>
      </c>
      <c r="O316" t="s">
        <v>338</v>
      </c>
      <c r="P316" t="s">
        <v>74</v>
      </c>
    </row>
    <row r="317" spans="5:16">
      <c r="E317" t="s">
        <v>743</v>
      </c>
      <c r="F317" t="str">
        <f>值集数据!$E$276</f>
        <v>hpfm_lov_view_header-1065</v>
      </c>
      <c r="G317" t="s">
        <v>73</v>
      </c>
      <c r="H317" t="str">
        <f>值集数据!$E$57</f>
        <v>hpfm_lov-276</v>
      </c>
      <c r="I317" t="s">
        <v>722</v>
      </c>
      <c r="J317" t="s">
        <v>722</v>
      </c>
      <c r="K317" t="s">
        <v>323</v>
      </c>
      <c r="L317" t="s">
        <v>723</v>
      </c>
      <c r="M317" t="s">
        <v>74</v>
      </c>
      <c r="N317" t="s">
        <v>74</v>
      </c>
      <c r="O317" t="s">
        <v>338</v>
      </c>
      <c r="P317" t="s">
        <v>74</v>
      </c>
    </row>
    <row r="318" spans="5:16">
      <c r="E318" t="s">
        <v>744</v>
      </c>
      <c r="F318" t="str">
        <f>值集数据!$E$277</f>
        <v>hpfm_lov_view_header-1066</v>
      </c>
      <c r="G318" t="s">
        <v>73</v>
      </c>
      <c r="H318" t="str">
        <f>值集数据!$E$31</f>
        <v>hpfm_lov-153</v>
      </c>
      <c r="I318" t="s">
        <v>725</v>
      </c>
      <c r="J318" t="s">
        <v>725</v>
      </c>
      <c r="K318" t="s">
        <v>338</v>
      </c>
      <c r="L318" t="s">
        <v>92</v>
      </c>
      <c r="M318" t="s">
        <v>74</v>
      </c>
      <c r="N318" t="s">
        <v>74</v>
      </c>
      <c r="O318" t="s">
        <v>338</v>
      </c>
      <c r="P318" t="s">
        <v>74</v>
      </c>
    </row>
    <row r="319" spans="5:16">
      <c r="E319" t="s">
        <v>745</v>
      </c>
      <c r="F319" t="str">
        <f>值集数据!$E$277</f>
        <v>hpfm_lov_view_header-1066</v>
      </c>
      <c r="G319" t="s">
        <v>73</v>
      </c>
      <c r="H319" t="str">
        <f>值集数据!$E$31</f>
        <v>hpfm_lov-153</v>
      </c>
      <c r="I319" t="s">
        <v>746</v>
      </c>
      <c r="J319" t="s">
        <v>746</v>
      </c>
      <c r="K319" t="s">
        <v>338</v>
      </c>
      <c r="L319" t="s">
        <v>91</v>
      </c>
      <c r="M319" t="s">
        <v>74</v>
      </c>
      <c r="N319" t="s">
        <v>74</v>
      </c>
      <c r="O319" t="s">
        <v>338</v>
      </c>
      <c r="P319" t="s">
        <v>74</v>
      </c>
    </row>
    <row r="320" spans="5:16">
      <c r="E320" t="s">
        <v>747</v>
      </c>
      <c r="F320" t="str">
        <f>值集数据!$E$278</f>
        <v>hpfm_lov_view_header-1067</v>
      </c>
      <c r="G320" t="s">
        <v>73</v>
      </c>
      <c r="H320" t="str">
        <f>值集数据!$E$43</f>
        <v>hpfm_lov-195</v>
      </c>
      <c r="I320" t="s">
        <v>748</v>
      </c>
      <c r="J320" t="s">
        <v>748</v>
      </c>
      <c r="K320" t="s">
        <v>338</v>
      </c>
      <c r="L320" t="s">
        <v>215</v>
      </c>
      <c r="M320" t="s">
        <v>74</v>
      </c>
      <c r="N320" t="s">
        <v>74</v>
      </c>
      <c r="O320" t="s">
        <v>338</v>
      </c>
      <c r="P320" t="s">
        <v>74</v>
      </c>
    </row>
    <row r="321" spans="5:16">
      <c r="E321" t="s">
        <v>749</v>
      </c>
      <c r="F321" t="str">
        <f>值集数据!$E$278</f>
        <v>hpfm_lov_view_header-1067</v>
      </c>
      <c r="G321" t="s">
        <v>73</v>
      </c>
      <c r="H321" t="str">
        <f>值集数据!$E$43</f>
        <v>hpfm_lov-195</v>
      </c>
      <c r="I321" t="s">
        <v>737</v>
      </c>
      <c r="J321" t="s">
        <v>737</v>
      </c>
      <c r="K321" t="s">
        <v>338</v>
      </c>
      <c r="L321" t="s">
        <v>209</v>
      </c>
      <c r="M321" t="s">
        <v>74</v>
      </c>
      <c r="N321" t="s">
        <v>74</v>
      </c>
      <c r="O321" t="s">
        <v>338</v>
      </c>
      <c r="P321" t="s">
        <v>74</v>
      </c>
    </row>
    <row r="322" spans="5:16">
      <c r="E322" t="s">
        <v>750</v>
      </c>
      <c r="F322" t="str">
        <f>值集数据!$E$278</f>
        <v>hpfm_lov_view_header-1067</v>
      </c>
      <c r="G322" t="s">
        <v>73</v>
      </c>
      <c r="H322" t="str">
        <f>值集数据!$E$43</f>
        <v>hpfm_lov-195</v>
      </c>
      <c r="I322" t="s">
        <v>751</v>
      </c>
      <c r="J322" t="s">
        <v>751</v>
      </c>
      <c r="K322" t="s">
        <v>338</v>
      </c>
      <c r="L322" t="s">
        <v>648</v>
      </c>
      <c r="M322" t="s">
        <v>73</v>
      </c>
      <c r="N322" t="s">
        <v>74</v>
      </c>
      <c r="O322" t="s">
        <v>338</v>
      </c>
      <c r="P322" t="s">
        <v>74</v>
      </c>
    </row>
    <row r="323" spans="5:16">
      <c r="E323" t="s">
        <v>752</v>
      </c>
      <c r="F323" t="str">
        <f>值集数据!$E$278</f>
        <v>hpfm_lov_view_header-1067</v>
      </c>
      <c r="G323" t="s">
        <v>73</v>
      </c>
      <c r="H323" t="str">
        <f>值集数据!$E$43</f>
        <v>hpfm_lov-195</v>
      </c>
      <c r="I323" t="s">
        <v>722</v>
      </c>
      <c r="J323" t="s">
        <v>722</v>
      </c>
      <c r="K323" t="s">
        <v>338</v>
      </c>
      <c r="L323" t="s">
        <v>723</v>
      </c>
      <c r="M323" t="s">
        <v>73</v>
      </c>
      <c r="N323" t="s">
        <v>74</v>
      </c>
      <c r="O323" t="s">
        <v>338</v>
      </c>
      <c r="P323" t="s">
        <v>74</v>
      </c>
    </row>
    <row r="324" spans="5:16">
      <c r="E324" t="s">
        <v>753</v>
      </c>
      <c r="F324" t="str">
        <f>值集数据!$E$278</f>
        <v>hpfm_lov_view_header-1067</v>
      </c>
      <c r="G324" t="s">
        <v>73</v>
      </c>
      <c r="H324" t="str">
        <f>值集数据!$E$43</f>
        <v>hpfm_lov-195</v>
      </c>
      <c r="I324" t="s">
        <v>327</v>
      </c>
      <c r="J324" t="s">
        <v>327</v>
      </c>
      <c r="K324" t="s">
        <v>338</v>
      </c>
      <c r="L324" t="s">
        <v>117</v>
      </c>
      <c r="M324" t="s">
        <v>73</v>
      </c>
      <c r="N324" t="s">
        <v>74</v>
      </c>
      <c r="O324" t="s">
        <v>338</v>
      </c>
      <c r="P324" t="s">
        <v>74</v>
      </c>
    </row>
    <row r="325" spans="5:16">
      <c r="E325" t="s">
        <v>754</v>
      </c>
      <c r="F325" t="str">
        <f>值集数据!$E$279</f>
        <v>hpfm_lov_view_header-1068</v>
      </c>
      <c r="G325" t="s">
        <v>73</v>
      </c>
      <c r="H325" t="str">
        <f>值集数据!$E$44</f>
        <v>hpfm_lov-196</v>
      </c>
      <c r="I325" t="s">
        <v>748</v>
      </c>
      <c r="J325" t="s">
        <v>748</v>
      </c>
      <c r="K325" t="s">
        <v>338</v>
      </c>
      <c r="L325" t="s">
        <v>215</v>
      </c>
      <c r="M325" t="s">
        <v>74</v>
      </c>
      <c r="N325" t="s">
        <v>74</v>
      </c>
      <c r="O325" t="s">
        <v>338</v>
      </c>
      <c r="P325" t="s">
        <v>74</v>
      </c>
    </row>
    <row r="326" spans="5:16">
      <c r="E326" t="s">
        <v>755</v>
      </c>
      <c r="F326" t="str">
        <f>值集数据!$E$279</f>
        <v>hpfm_lov_view_header-1068</v>
      </c>
      <c r="G326" t="s">
        <v>73</v>
      </c>
      <c r="H326" t="str">
        <f>值集数据!$E$44</f>
        <v>hpfm_lov-196</v>
      </c>
      <c r="I326" t="s">
        <v>737</v>
      </c>
      <c r="J326" t="s">
        <v>737</v>
      </c>
      <c r="K326" t="s">
        <v>338</v>
      </c>
      <c r="L326" t="s">
        <v>209</v>
      </c>
      <c r="M326" t="s">
        <v>74</v>
      </c>
      <c r="N326" t="s">
        <v>74</v>
      </c>
      <c r="O326" t="s">
        <v>338</v>
      </c>
      <c r="P326" t="s">
        <v>74</v>
      </c>
    </row>
    <row r="327" spans="5:16">
      <c r="E327" t="s">
        <v>756</v>
      </c>
      <c r="F327" t="str">
        <f>值集数据!$E$279</f>
        <v>hpfm_lov_view_header-1068</v>
      </c>
      <c r="G327" t="s">
        <v>73</v>
      </c>
      <c r="H327" t="str">
        <f>值集数据!$E$44</f>
        <v>hpfm_lov-196</v>
      </c>
      <c r="I327" t="s">
        <v>751</v>
      </c>
      <c r="J327" t="s">
        <v>751</v>
      </c>
      <c r="K327" t="s">
        <v>338</v>
      </c>
      <c r="L327" t="s">
        <v>648</v>
      </c>
      <c r="M327" t="s">
        <v>73</v>
      </c>
      <c r="N327" t="s">
        <v>74</v>
      </c>
      <c r="O327" t="s">
        <v>338</v>
      </c>
      <c r="P327" t="s">
        <v>74</v>
      </c>
    </row>
    <row r="328" spans="5:16">
      <c r="E328" t="s">
        <v>757</v>
      </c>
      <c r="F328" t="str">
        <f>值集数据!$E$279</f>
        <v>hpfm_lov_view_header-1068</v>
      </c>
      <c r="G328" t="s">
        <v>73</v>
      </c>
      <c r="H328" t="str">
        <f>值集数据!$E$44</f>
        <v>hpfm_lov-196</v>
      </c>
      <c r="I328" t="s">
        <v>722</v>
      </c>
      <c r="J328" t="s">
        <v>722</v>
      </c>
      <c r="K328" t="s">
        <v>338</v>
      </c>
      <c r="L328" t="s">
        <v>723</v>
      </c>
      <c r="M328" t="s">
        <v>73</v>
      </c>
      <c r="N328" t="s">
        <v>74</v>
      </c>
      <c r="O328" t="s">
        <v>338</v>
      </c>
      <c r="P328" t="s">
        <v>74</v>
      </c>
    </row>
    <row r="329" spans="5:16">
      <c r="E329" t="s">
        <v>758</v>
      </c>
      <c r="F329" t="str">
        <f>值集数据!$E$279</f>
        <v>hpfm_lov_view_header-1068</v>
      </c>
      <c r="G329" t="s">
        <v>73</v>
      </c>
      <c r="H329" t="str">
        <f>值集数据!$E$44</f>
        <v>hpfm_lov-196</v>
      </c>
      <c r="I329" t="s">
        <v>759</v>
      </c>
      <c r="J329" t="s">
        <v>759</v>
      </c>
      <c r="K329" t="s">
        <v>338</v>
      </c>
      <c r="L329" t="s">
        <v>117</v>
      </c>
      <c r="M329" t="s">
        <v>73</v>
      </c>
      <c r="N329" t="s">
        <v>74</v>
      </c>
      <c r="O329" t="s">
        <v>338</v>
      </c>
      <c r="P329" t="s">
        <v>74</v>
      </c>
    </row>
    <row r="330" spans="5:16">
      <c r="E330" t="s">
        <v>760</v>
      </c>
      <c r="F330" t="str">
        <f>值集数据!$E$280</f>
        <v>hpfm_lov_view_header-1069</v>
      </c>
      <c r="G330" t="s">
        <v>73</v>
      </c>
      <c r="H330" t="str">
        <f>值集数据!$E$49</f>
        <v>hpfm_lov-247</v>
      </c>
      <c r="I330" t="s">
        <v>733</v>
      </c>
      <c r="J330" t="s">
        <v>733</v>
      </c>
      <c r="K330" t="s">
        <v>321</v>
      </c>
      <c r="L330" t="s">
        <v>215</v>
      </c>
      <c r="M330" t="s">
        <v>74</v>
      </c>
      <c r="N330" t="s">
        <v>74</v>
      </c>
      <c r="O330" t="s">
        <v>340</v>
      </c>
      <c r="P330" t="s">
        <v>74</v>
      </c>
    </row>
    <row r="331" spans="5:16">
      <c r="E331" t="s">
        <v>761</v>
      </c>
      <c r="F331" t="str">
        <f>值集数据!$E$280</f>
        <v>hpfm_lov_view_header-1069</v>
      </c>
      <c r="G331" t="s">
        <v>73</v>
      </c>
      <c r="H331" t="str">
        <f>值集数据!$E$49</f>
        <v>hpfm_lov-247</v>
      </c>
      <c r="I331" t="s">
        <v>737</v>
      </c>
      <c r="J331" t="s">
        <v>737</v>
      </c>
      <c r="K331" t="s">
        <v>322</v>
      </c>
      <c r="L331" t="s">
        <v>209</v>
      </c>
      <c r="M331" t="s">
        <v>74</v>
      </c>
      <c r="N331" t="s">
        <v>74</v>
      </c>
      <c r="O331" t="s">
        <v>340</v>
      </c>
      <c r="P331" t="s">
        <v>74</v>
      </c>
    </row>
    <row r="332" spans="5:16">
      <c r="E332" t="s">
        <v>762</v>
      </c>
      <c r="F332" t="str">
        <f>值集数据!$E$280</f>
        <v>hpfm_lov_view_header-1069</v>
      </c>
      <c r="G332" t="s">
        <v>73</v>
      </c>
      <c r="H332" t="str">
        <f>值集数据!$E$49</f>
        <v>hpfm_lov-247</v>
      </c>
      <c r="I332" t="s">
        <v>739</v>
      </c>
      <c r="J332" t="s">
        <v>739</v>
      </c>
      <c r="K332" t="s">
        <v>323</v>
      </c>
      <c r="L332" t="s">
        <v>648</v>
      </c>
      <c r="M332" t="s">
        <v>74</v>
      </c>
      <c r="N332" t="s">
        <v>73</v>
      </c>
      <c r="O332" t="s">
        <v>340</v>
      </c>
      <c r="P332" t="s">
        <v>74</v>
      </c>
    </row>
    <row r="333" spans="5:16">
      <c r="E333" t="s">
        <v>763</v>
      </c>
      <c r="F333" t="str">
        <f>值集数据!$E$281</f>
        <v>hpfm_lov_view_header-1070</v>
      </c>
      <c r="G333" t="s">
        <v>73</v>
      </c>
      <c r="H333" t="str">
        <f>值集数据!$E$48</f>
        <v>hpfm_lov-246</v>
      </c>
      <c r="I333" t="s">
        <v>739</v>
      </c>
      <c r="J333" t="s">
        <v>739</v>
      </c>
      <c r="K333" t="s">
        <v>321</v>
      </c>
      <c r="L333" t="s">
        <v>648</v>
      </c>
      <c r="M333" t="s">
        <v>74</v>
      </c>
      <c r="N333" t="s">
        <v>74</v>
      </c>
      <c r="O333" t="s">
        <v>340</v>
      </c>
      <c r="P333" t="s">
        <v>74</v>
      </c>
    </row>
    <row r="334" spans="5:16">
      <c r="E334" t="s">
        <v>764</v>
      </c>
      <c r="F334" t="str">
        <f>值集数据!$E$281</f>
        <v>hpfm_lov_view_header-1070</v>
      </c>
      <c r="G334" t="s">
        <v>73</v>
      </c>
      <c r="H334" t="str">
        <f>值集数据!$E$48</f>
        <v>hpfm_lov-246</v>
      </c>
      <c r="I334" t="s">
        <v>722</v>
      </c>
      <c r="J334" t="s">
        <v>722</v>
      </c>
      <c r="K334" t="s">
        <v>322</v>
      </c>
      <c r="L334" t="s">
        <v>723</v>
      </c>
      <c r="M334" t="s">
        <v>74</v>
      </c>
      <c r="N334" t="s">
        <v>74</v>
      </c>
      <c r="O334" t="s">
        <v>340</v>
      </c>
      <c r="P334" t="s">
        <v>74</v>
      </c>
    </row>
    <row r="335" spans="5:16">
      <c r="E335" t="s">
        <v>765</v>
      </c>
      <c r="F335" t="str">
        <f>值集数据!$E$282</f>
        <v>hpfm_lov_view_header-1071</v>
      </c>
      <c r="G335" t="s">
        <v>73</v>
      </c>
      <c r="H335" t="str">
        <f>值集数据!$E$23</f>
        <v>hpfm_lov-143</v>
      </c>
      <c r="I335" t="s">
        <v>766</v>
      </c>
      <c r="J335" t="s">
        <v>766</v>
      </c>
      <c r="K335" t="s">
        <v>74</v>
      </c>
      <c r="L335" t="s">
        <v>92</v>
      </c>
      <c r="M335" t="s">
        <v>73</v>
      </c>
      <c r="N335" t="s">
        <v>74</v>
      </c>
      <c r="O335" t="s">
        <v>337</v>
      </c>
      <c r="P335" t="s">
        <v>74</v>
      </c>
    </row>
    <row r="336" spans="5:16">
      <c r="E336" t="s">
        <v>767</v>
      </c>
      <c r="F336" t="str">
        <f>值集数据!$E$283</f>
        <v>hpfm_lov_view_header-1072</v>
      </c>
      <c r="G336" t="s">
        <v>73</v>
      </c>
      <c r="H336" t="str">
        <f>值集数据!$E$64</f>
        <v>hpfm_lov-292</v>
      </c>
      <c r="I336" t="s">
        <v>768</v>
      </c>
      <c r="J336" t="s">
        <v>768</v>
      </c>
      <c r="K336" t="s">
        <v>73</v>
      </c>
      <c r="L336" t="s">
        <v>769</v>
      </c>
      <c r="M336" t="s">
        <v>74</v>
      </c>
      <c r="N336" t="s">
        <v>74</v>
      </c>
      <c r="O336" t="s">
        <v>339</v>
      </c>
      <c r="P336" t="s">
        <v>74</v>
      </c>
    </row>
    <row r="337" spans="5:16">
      <c r="E337" t="s">
        <v>770</v>
      </c>
      <c r="F337" t="str">
        <f>值集数据!$E$283</f>
        <v>hpfm_lov_view_header-1072</v>
      </c>
      <c r="G337" t="s">
        <v>73</v>
      </c>
      <c r="H337" t="str">
        <f>值集数据!$E$64</f>
        <v>hpfm_lov-292</v>
      </c>
      <c r="I337" t="s">
        <v>771</v>
      </c>
      <c r="J337" t="s">
        <v>771</v>
      </c>
      <c r="K337" t="s">
        <v>74</v>
      </c>
      <c r="L337" t="s">
        <v>79</v>
      </c>
      <c r="M337" t="s">
        <v>74</v>
      </c>
      <c r="N337" t="s">
        <v>74</v>
      </c>
      <c r="O337" t="s">
        <v>339</v>
      </c>
      <c r="P337" t="s">
        <v>74</v>
      </c>
    </row>
    <row r="338" spans="5:16">
      <c r="E338" t="s">
        <v>772</v>
      </c>
      <c r="F338" t="str">
        <f>值集数据!$E$284</f>
        <v>hpfm_lov_view_header-1073</v>
      </c>
      <c r="G338" t="s">
        <v>73</v>
      </c>
      <c r="H338" t="str">
        <f>值集数据!$E$36</f>
        <v>hpfm_lov-162</v>
      </c>
      <c r="I338" t="s">
        <v>773</v>
      </c>
      <c r="J338" t="s">
        <v>773</v>
      </c>
      <c r="K338" t="s">
        <v>338</v>
      </c>
      <c r="L338" t="s">
        <v>183</v>
      </c>
      <c r="M338" t="s">
        <v>74</v>
      </c>
      <c r="N338" t="s">
        <v>74</v>
      </c>
      <c r="O338" t="s">
        <v>338</v>
      </c>
      <c r="P338" t="s">
        <v>74</v>
      </c>
    </row>
    <row r="339" spans="5:16">
      <c r="E339" t="s">
        <v>774</v>
      </c>
      <c r="F339" t="str">
        <f>值集数据!$E$285</f>
        <v>hpfm_lov_view_header-1074</v>
      </c>
      <c r="G339" t="s">
        <v>73</v>
      </c>
      <c r="H339" t="str">
        <f>值集数据!$E$28</f>
        <v>hpfm_lov-150</v>
      </c>
      <c r="I339" t="s">
        <v>775</v>
      </c>
      <c r="J339" t="s">
        <v>775</v>
      </c>
      <c r="K339" t="s">
        <v>320</v>
      </c>
      <c r="L339" t="s">
        <v>92</v>
      </c>
      <c r="M339" t="s">
        <v>73</v>
      </c>
      <c r="N339" t="s">
        <v>74</v>
      </c>
      <c r="O339" t="s">
        <v>337</v>
      </c>
      <c r="P339" t="s">
        <v>74</v>
      </c>
    </row>
    <row r="340" spans="5:16">
      <c r="E340" t="s">
        <v>776</v>
      </c>
      <c r="F340" t="str">
        <f>值集数据!$E$285</f>
        <v>hpfm_lov_view_header-1074</v>
      </c>
      <c r="G340" t="s">
        <v>73</v>
      </c>
      <c r="H340" t="str">
        <f>值集数据!$E$28</f>
        <v>hpfm_lov-150</v>
      </c>
      <c r="I340" t="s">
        <v>777</v>
      </c>
      <c r="J340" t="s">
        <v>777</v>
      </c>
      <c r="K340" t="s">
        <v>74</v>
      </c>
      <c r="L340" t="s">
        <v>91</v>
      </c>
      <c r="M340" t="s">
        <v>73</v>
      </c>
      <c r="N340" t="s">
        <v>74</v>
      </c>
      <c r="O340" t="s">
        <v>337</v>
      </c>
      <c r="P340" t="s">
        <v>74</v>
      </c>
    </row>
    <row r="341" spans="5:16">
      <c r="E341" t="s">
        <v>778</v>
      </c>
      <c r="F341" t="str">
        <f>值集数据!$E$286</f>
        <v>hpfm_lov_view_header-1075</v>
      </c>
      <c r="G341" t="s">
        <v>73</v>
      </c>
      <c r="H341" t="str">
        <f>值集数据!$E$21</f>
        <v>hpfm_lov-140</v>
      </c>
      <c r="I341" t="s">
        <v>779</v>
      </c>
      <c r="J341" t="s">
        <v>779</v>
      </c>
      <c r="K341" t="s">
        <v>320</v>
      </c>
      <c r="L341" t="s">
        <v>92</v>
      </c>
      <c r="M341" t="s">
        <v>73</v>
      </c>
      <c r="N341" t="s">
        <v>74</v>
      </c>
      <c r="O341" t="s">
        <v>337</v>
      </c>
      <c r="P341" t="s">
        <v>74</v>
      </c>
    </row>
    <row r="342" spans="5:16">
      <c r="E342" t="s">
        <v>780</v>
      </c>
      <c r="F342" t="str">
        <f>值集数据!$E$286</f>
        <v>hpfm_lov_view_header-1075</v>
      </c>
      <c r="G342" t="s">
        <v>73</v>
      </c>
      <c r="H342" t="str">
        <f>值集数据!$E$21</f>
        <v>hpfm_lov-140</v>
      </c>
      <c r="I342" t="s">
        <v>781</v>
      </c>
      <c r="J342" t="s">
        <v>781</v>
      </c>
      <c r="K342" t="s">
        <v>74</v>
      </c>
      <c r="L342" t="s">
        <v>91</v>
      </c>
      <c r="M342" t="s">
        <v>73</v>
      </c>
      <c r="N342" t="s">
        <v>74</v>
      </c>
      <c r="O342" t="s">
        <v>337</v>
      </c>
      <c r="P342" t="s">
        <v>74</v>
      </c>
    </row>
    <row r="343" spans="5:16">
      <c r="E343" t="s">
        <v>782</v>
      </c>
      <c r="F343" t="str">
        <f>值集数据!$E$287</f>
        <v>hpfm_lov_view_header-1076</v>
      </c>
      <c r="G343" t="s">
        <v>73</v>
      </c>
      <c r="H343" t="str">
        <f>值集数据!$E$22</f>
        <v>hpfm_lov-141</v>
      </c>
      <c r="I343" t="s">
        <v>783</v>
      </c>
      <c r="J343" t="s">
        <v>783</v>
      </c>
      <c r="K343" t="s">
        <v>74</v>
      </c>
      <c r="L343" t="s">
        <v>91</v>
      </c>
      <c r="M343" t="s">
        <v>73</v>
      </c>
      <c r="N343" t="s">
        <v>74</v>
      </c>
      <c r="O343" t="s">
        <v>337</v>
      </c>
      <c r="P343" t="s">
        <v>74</v>
      </c>
    </row>
    <row r="344" spans="5:16">
      <c r="E344" t="s">
        <v>784</v>
      </c>
      <c r="F344" t="str">
        <f>值集数据!$E$288</f>
        <v>hpfm_lov_view_header-1077</v>
      </c>
      <c r="G344" t="s">
        <v>73</v>
      </c>
      <c r="H344" t="str">
        <f>值集数据!$E$30</f>
        <v>hpfm_lov-152</v>
      </c>
      <c r="I344" t="s">
        <v>779</v>
      </c>
      <c r="J344" t="s">
        <v>779</v>
      </c>
      <c r="K344" t="s">
        <v>320</v>
      </c>
      <c r="L344" t="s">
        <v>92</v>
      </c>
      <c r="M344" t="s">
        <v>73</v>
      </c>
      <c r="N344" t="s">
        <v>74</v>
      </c>
      <c r="O344" t="s">
        <v>337</v>
      </c>
      <c r="P344" t="s">
        <v>74</v>
      </c>
    </row>
    <row r="345" spans="5:16">
      <c r="E345" t="s">
        <v>785</v>
      </c>
      <c r="F345" t="str">
        <f>值集数据!$E$288</f>
        <v>hpfm_lov_view_header-1077</v>
      </c>
      <c r="G345" t="s">
        <v>73</v>
      </c>
      <c r="H345" t="str">
        <f>值集数据!$E$30</f>
        <v>hpfm_lov-152</v>
      </c>
      <c r="I345" t="s">
        <v>786</v>
      </c>
      <c r="J345" t="s">
        <v>786</v>
      </c>
      <c r="K345" t="s">
        <v>337</v>
      </c>
      <c r="L345" t="s">
        <v>91</v>
      </c>
      <c r="M345" t="s">
        <v>73</v>
      </c>
      <c r="N345" t="s">
        <v>74</v>
      </c>
      <c r="O345" t="s">
        <v>337</v>
      </c>
      <c r="P345" t="s">
        <v>74</v>
      </c>
    </row>
    <row r="346" spans="5:16">
      <c r="E346" t="s">
        <v>787</v>
      </c>
      <c r="F346" t="str">
        <f>值集数据!$E$289</f>
        <v>hpfm_lov_view_header-1078</v>
      </c>
      <c r="G346" t="s">
        <v>73</v>
      </c>
      <c r="H346" t="str">
        <f>值集数据!$E$18</f>
        <v>hpfm_lov-137</v>
      </c>
      <c r="I346" t="s">
        <v>766</v>
      </c>
      <c r="J346" t="s">
        <v>766</v>
      </c>
      <c r="K346" t="s">
        <v>74</v>
      </c>
      <c r="L346" t="s">
        <v>92</v>
      </c>
      <c r="M346" t="s">
        <v>73</v>
      </c>
      <c r="N346" t="s">
        <v>74</v>
      </c>
      <c r="O346" t="s">
        <v>337</v>
      </c>
      <c r="P346" t="s">
        <v>74</v>
      </c>
    </row>
    <row r="347" spans="5:16">
      <c r="E347" t="s">
        <v>788</v>
      </c>
      <c r="F347" t="str">
        <f>值集数据!$E$289</f>
        <v>hpfm_lov_view_header-1078</v>
      </c>
      <c r="G347" t="s">
        <v>73</v>
      </c>
      <c r="H347" t="str">
        <f>值集数据!$E$18</f>
        <v>hpfm_lov-137</v>
      </c>
      <c r="I347" t="s">
        <v>727</v>
      </c>
      <c r="J347" t="s">
        <v>727</v>
      </c>
      <c r="K347" t="s">
        <v>74</v>
      </c>
      <c r="L347" t="s">
        <v>789</v>
      </c>
      <c r="M347" t="s">
        <v>73</v>
      </c>
      <c r="N347" t="s">
        <v>74</v>
      </c>
      <c r="O347" t="s">
        <v>337</v>
      </c>
      <c r="P347" t="s">
        <v>74</v>
      </c>
    </row>
    <row r="348" spans="5:16">
      <c r="E348" t="s">
        <v>790</v>
      </c>
      <c r="F348" t="str">
        <f>值集数据!$E$289</f>
        <v>hpfm_lov_view_header-1078</v>
      </c>
      <c r="G348" t="s">
        <v>73</v>
      </c>
      <c r="H348" t="str">
        <f>值集数据!$E$18</f>
        <v>hpfm_lov-137</v>
      </c>
      <c r="I348" t="s">
        <v>725</v>
      </c>
      <c r="J348" t="s">
        <v>725</v>
      </c>
      <c r="K348" t="s">
        <v>320</v>
      </c>
      <c r="L348" t="s">
        <v>91</v>
      </c>
      <c r="M348" t="s">
        <v>73</v>
      </c>
      <c r="N348" t="s">
        <v>74</v>
      </c>
      <c r="O348" t="s">
        <v>337</v>
      </c>
      <c r="P348" t="s">
        <v>74</v>
      </c>
    </row>
    <row r="349" spans="5:16">
      <c r="E349" t="s">
        <v>791</v>
      </c>
      <c r="F349" t="str">
        <f>值集数据!$E$290</f>
        <v>hpfm_lov_view_header-1079</v>
      </c>
      <c r="G349" t="s">
        <v>73</v>
      </c>
      <c r="H349" t="str">
        <f>值集数据!$E$45</f>
        <v>hpfm_lov-197</v>
      </c>
      <c r="I349" t="s">
        <v>773</v>
      </c>
      <c r="J349" t="s">
        <v>773</v>
      </c>
      <c r="K349" t="s">
        <v>338</v>
      </c>
      <c r="L349" t="s">
        <v>183</v>
      </c>
      <c r="M349" t="s">
        <v>74</v>
      </c>
      <c r="N349" t="s">
        <v>74</v>
      </c>
      <c r="O349" t="s">
        <v>338</v>
      </c>
      <c r="P349" t="s">
        <v>74</v>
      </c>
    </row>
    <row r="350" spans="5:16">
      <c r="E350" t="s">
        <v>792</v>
      </c>
      <c r="F350" t="str">
        <f>值集数据!$E$290</f>
        <v>hpfm_lov_view_header-1079</v>
      </c>
      <c r="G350" t="s">
        <v>73</v>
      </c>
      <c r="H350" t="str">
        <f>值集数据!$E$45</f>
        <v>hpfm_lov-197</v>
      </c>
      <c r="I350" t="s">
        <v>123</v>
      </c>
      <c r="J350" t="s">
        <v>123</v>
      </c>
      <c r="K350" t="s">
        <v>338</v>
      </c>
      <c r="L350" t="s">
        <v>793</v>
      </c>
      <c r="M350" t="s">
        <v>73</v>
      </c>
      <c r="N350" t="s">
        <v>74</v>
      </c>
      <c r="O350" t="s">
        <v>338</v>
      </c>
      <c r="P350" t="s">
        <v>74</v>
      </c>
    </row>
    <row r="351" spans="5:16">
      <c r="E351" t="s">
        <v>794</v>
      </c>
      <c r="F351" t="str">
        <f>值集数据!$E$291</f>
        <v>hpfm_lov_view_header-1080</v>
      </c>
      <c r="G351" t="s">
        <v>73</v>
      </c>
      <c r="H351" t="str">
        <f>值集数据!$E$19</f>
        <v>hpfm_lov-138</v>
      </c>
      <c r="I351" t="s">
        <v>795</v>
      </c>
      <c r="J351" t="s">
        <v>795</v>
      </c>
      <c r="K351" t="s">
        <v>74</v>
      </c>
      <c r="L351" t="s">
        <v>92</v>
      </c>
      <c r="M351" t="s">
        <v>73</v>
      </c>
      <c r="N351" t="s">
        <v>74</v>
      </c>
      <c r="O351" t="s">
        <v>337</v>
      </c>
      <c r="P351" t="s">
        <v>74</v>
      </c>
    </row>
    <row r="352" spans="5:16">
      <c r="E352" t="s">
        <v>796</v>
      </c>
      <c r="F352" t="str">
        <f>值集数据!$E$291</f>
        <v>hpfm_lov_view_header-1080</v>
      </c>
      <c r="G352" t="s">
        <v>73</v>
      </c>
      <c r="H352" t="str">
        <f>值集数据!$E$19</f>
        <v>hpfm_lov-138</v>
      </c>
      <c r="I352" t="s">
        <v>786</v>
      </c>
      <c r="J352" t="s">
        <v>786</v>
      </c>
      <c r="K352" t="s">
        <v>74</v>
      </c>
      <c r="L352" t="s">
        <v>91</v>
      </c>
      <c r="M352" t="s">
        <v>73</v>
      </c>
      <c r="N352" t="s">
        <v>74</v>
      </c>
      <c r="O352" t="s">
        <v>337</v>
      </c>
      <c r="P352" t="s">
        <v>74</v>
      </c>
    </row>
    <row r="353" spans="5:16">
      <c r="E353" t="s">
        <v>797</v>
      </c>
      <c r="F353" t="str">
        <f>值集数据!$E$292</f>
        <v>hpfm_lov_view_header-1081</v>
      </c>
      <c r="G353" t="s">
        <v>73</v>
      </c>
      <c r="H353" t="str">
        <f>值集数据!$E$32</f>
        <v>hpfm_lov-155</v>
      </c>
      <c r="I353" t="s">
        <v>798</v>
      </c>
      <c r="J353" t="s">
        <v>798</v>
      </c>
      <c r="K353" t="s">
        <v>338</v>
      </c>
      <c r="L353" t="s">
        <v>167</v>
      </c>
      <c r="M353" t="s">
        <v>74</v>
      </c>
      <c r="N353" t="s">
        <v>74</v>
      </c>
      <c r="O353" t="s">
        <v>338</v>
      </c>
      <c r="P353" t="s">
        <v>74</v>
      </c>
    </row>
    <row r="354" spans="5:16">
      <c r="E354" t="s">
        <v>799</v>
      </c>
      <c r="F354" t="str">
        <f>值集数据!$E$293</f>
        <v>hpfm_lov_view_header-1082</v>
      </c>
      <c r="G354" t="s">
        <v>73</v>
      </c>
      <c r="H354" t="str">
        <f>值集数据!$E$20</f>
        <v>hpfm_lov-139</v>
      </c>
      <c r="I354" t="s">
        <v>746</v>
      </c>
      <c r="J354" t="s">
        <v>746</v>
      </c>
      <c r="K354" t="s">
        <v>320</v>
      </c>
      <c r="L354" t="s">
        <v>92</v>
      </c>
      <c r="M354" t="s">
        <v>73</v>
      </c>
      <c r="N354" t="s">
        <v>74</v>
      </c>
      <c r="O354" t="s">
        <v>337</v>
      </c>
      <c r="P354" t="s">
        <v>74</v>
      </c>
    </row>
    <row r="355" spans="5:16">
      <c r="E355" t="s">
        <v>800</v>
      </c>
      <c r="F355" t="str">
        <f>值集数据!$E$293</f>
        <v>hpfm_lov_view_header-1082</v>
      </c>
      <c r="G355" t="s">
        <v>73</v>
      </c>
      <c r="H355" t="str">
        <f>值集数据!$E$20</f>
        <v>hpfm_lov-139</v>
      </c>
      <c r="I355" t="s">
        <v>786</v>
      </c>
      <c r="J355" t="s">
        <v>786</v>
      </c>
      <c r="K355" t="s">
        <v>74</v>
      </c>
      <c r="L355" t="s">
        <v>91</v>
      </c>
      <c r="M355" t="s">
        <v>73</v>
      </c>
      <c r="N355" t="s">
        <v>74</v>
      </c>
      <c r="O355" t="s">
        <v>337</v>
      </c>
      <c r="P355" t="s">
        <v>74</v>
      </c>
    </row>
    <row r="356" spans="5:16">
      <c r="E356" t="s">
        <v>801</v>
      </c>
      <c r="F356" t="str">
        <f>值集数据!$E$294</f>
        <v>hpfm_lov_view_header-1083</v>
      </c>
      <c r="G356" t="s">
        <v>73</v>
      </c>
      <c r="H356" t="str">
        <f>值集数据!$E$24</f>
        <v>hpfm_lov-144</v>
      </c>
      <c r="I356" t="s">
        <v>746</v>
      </c>
      <c r="J356" t="s">
        <v>746</v>
      </c>
      <c r="K356" t="s">
        <v>74</v>
      </c>
      <c r="L356" t="s">
        <v>91</v>
      </c>
      <c r="M356" t="s">
        <v>73</v>
      </c>
      <c r="N356" t="s">
        <v>74</v>
      </c>
      <c r="O356" t="s">
        <v>337</v>
      </c>
      <c r="P356" t="s">
        <v>74</v>
      </c>
    </row>
    <row r="357" spans="5:16">
      <c r="E357" t="s">
        <v>802</v>
      </c>
      <c r="F357" t="str">
        <f>值集数据!$E$295</f>
        <v>hpfm_lov_view_header-1084</v>
      </c>
      <c r="G357" t="s">
        <v>73</v>
      </c>
      <c r="H357" t="str">
        <f>值集数据!$E$35</f>
        <v>hpfm_lov-159</v>
      </c>
      <c r="I357" t="s">
        <v>748</v>
      </c>
      <c r="J357" t="s">
        <v>748</v>
      </c>
      <c r="K357" t="s">
        <v>338</v>
      </c>
      <c r="L357" t="s">
        <v>215</v>
      </c>
      <c r="M357" t="s">
        <v>74</v>
      </c>
      <c r="N357" t="s">
        <v>74</v>
      </c>
      <c r="O357" t="s">
        <v>338</v>
      </c>
      <c r="P357" t="s">
        <v>74</v>
      </c>
    </row>
    <row r="358" spans="5:16">
      <c r="E358" t="s">
        <v>803</v>
      </c>
      <c r="F358" t="str">
        <f>值集数据!$E$295</f>
        <v>hpfm_lov_view_header-1084</v>
      </c>
      <c r="G358" t="s">
        <v>73</v>
      </c>
      <c r="H358" t="str">
        <f>值集数据!$E$35</f>
        <v>hpfm_lov-159</v>
      </c>
      <c r="I358" t="s">
        <v>737</v>
      </c>
      <c r="J358" t="s">
        <v>737</v>
      </c>
      <c r="K358" t="s">
        <v>338</v>
      </c>
      <c r="L358" t="s">
        <v>209</v>
      </c>
      <c r="M358" t="s">
        <v>74</v>
      </c>
      <c r="N358" t="s">
        <v>74</v>
      </c>
      <c r="O358" t="s">
        <v>338</v>
      </c>
      <c r="P358" t="s">
        <v>74</v>
      </c>
    </row>
    <row r="359" spans="5:16">
      <c r="E359" t="s">
        <v>804</v>
      </c>
      <c r="F359" t="str">
        <f>值集数据!$E$295</f>
        <v>hpfm_lov_view_header-1084</v>
      </c>
      <c r="G359" t="s">
        <v>73</v>
      </c>
      <c r="H359" t="str">
        <f>值集数据!$E$35</f>
        <v>hpfm_lov-159</v>
      </c>
      <c r="I359" t="s">
        <v>751</v>
      </c>
      <c r="J359" t="s">
        <v>751</v>
      </c>
      <c r="K359" t="s">
        <v>338</v>
      </c>
      <c r="L359" t="s">
        <v>648</v>
      </c>
      <c r="M359" t="s">
        <v>73</v>
      </c>
      <c r="N359" t="s">
        <v>74</v>
      </c>
      <c r="O359" t="s">
        <v>338</v>
      </c>
      <c r="P359" t="s">
        <v>74</v>
      </c>
    </row>
    <row r="360" spans="5:16">
      <c r="E360" t="s">
        <v>805</v>
      </c>
      <c r="F360" t="str">
        <f>值集数据!$E$295</f>
        <v>hpfm_lov_view_header-1084</v>
      </c>
      <c r="G360" t="s">
        <v>73</v>
      </c>
      <c r="H360" t="str">
        <f>值集数据!$E$35</f>
        <v>hpfm_lov-159</v>
      </c>
      <c r="I360" t="s">
        <v>722</v>
      </c>
      <c r="J360" t="s">
        <v>722</v>
      </c>
      <c r="K360" t="s">
        <v>338</v>
      </c>
      <c r="L360" t="s">
        <v>723</v>
      </c>
      <c r="M360" t="s">
        <v>73</v>
      </c>
      <c r="N360" t="s">
        <v>74</v>
      </c>
      <c r="O360" t="s">
        <v>338</v>
      </c>
      <c r="P360" t="s">
        <v>74</v>
      </c>
    </row>
    <row r="361" spans="5:16">
      <c r="E361" t="s">
        <v>806</v>
      </c>
      <c r="F361" t="str">
        <f>值集数据!$E$296</f>
        <v>hpfm_lov_view_header-1087</v>
      </c>
      <c r="G361" t="s">
        <v>73</v>
      </c>
      <c r="H361" t="str">
        <f>值集数据!$E$25</f>
        <v>hpfm_lov-147</v>
      </c>
      <c r="I361" t="s">
        <v>746</v>
      </c>
      <c r="J361" t="s">
        <v>746</v>
      </c>
      <c r="K361" t="s">
        <v>74</v>
      </c>
      <c r="L361" t="s">
        <v>91</v>
      </c>
      <c r="M361" t="s">
        <v>73</v>
      </c>
      <c r="N361" t="s">
        <v>74</v>
      </c>
      <c r="O361" t="s">
        <v>337</v>
      </c>
      <c r="P361" t="s">
        <v>74</v>
      </c>
    </row>
    <row r="362" spans="5:16">
      <c r="E362" t="s">
        <v>807</v>
      </c>
      <c r="F362" t="str">
        <f>值集数据!$E$297</f>
        <v>hpfm_lov_view_header-1090</v>
      </c>
      <c r="G362" t="s">
        <v>73</v>
      </c>
      <c r="H362" t="str">
        <f>值集数据!$E$37</f>
        <v>hpfm_lov-181</v>
      </c>
      <c r="I362" t="s">
        <v>808</v>
      </c>
      <c r="J362" t="s">
        <v>808</v>
      </c>
      <c r="K362" t="s">
        <v>338</v>
      </c>
      <c r="L362" t="s">
        <v>156</v>
      </c>
      <c r="M362" t="s">
        <v>74</v>
      </c>
      <c r="N362" t="s">
        <v>74</v>
      </c>
      <c r="O362" t="s">
        <v>338</v>
      </c>
      <c r="P362" t="s">
        <v>74</v>
      </c>
    </row>
    <row r="363" spans="5:16">
      <c r="E363" t="s">
        <v>809</v>
      </c>
      <c r="F363" t="str">
        <f>值集数据!$E$298</f>
        <v>hpfm_lov_view_header-1091</v>
      </c>
      <c r="G363" t="s">
        <v>73</v>
      </c>
      <c r="H363" t="str">
        <f>值集数据!$E$26</f>
        <v>hpfm_lov-148</v>
      </c>
      <c r="I363" t="s">
        <v>725</v>
      </c>
      <c r="J363" t="s">
        <v>725</v>
      </c>
      <c r="K363" t="s">
        <v>320</v>
      </c>
      <c r="L363" t="s">
        <v>92</v>
      </c>
      <c r="M363" t="s">
        <v>73</v>
      </c>
      <c r="N363" t="s">
        <v>74</v>
      </c>
      <c r="O363" t="s">
        <v>337</v>
      </c>
      <c r="P363" t="s">
        <v>74</v>
      </c>
    </row>
    <row r="364" spans="5:16">
      <c r="E364" t="s">
        <v>810</v>
      </c>
      <c r="F364" t="str">
        <f>值集数据!$E$298</f>
        <v>hpfm_lov_view_header-1091</v>
      </c>
      <c r="G364" t="s">
        <v>73</v>
      </c>
      <c r="H364" t="str">
        <f>值集数据!$E$26</f>
        <v>hpfm_lov-148</v>
      </c>
      <c r="I364" t="s">
        <v>727</v>
      </c>
      <c r="J364" t="s">
        <v>727</v>
      </c>
      <c r="K364" t="s">
        <v>74</v>
      </c>
      <c r="L364" t="s">
        <v>91</v>
      </c>
      <c r="M364" t="s">
        <v>73</v>
      </c>
      <c r="N364" t="s">
        <v>74</v>
      </c>
      <c r="O364" t="s">
        <v>337</v>
      </c>
      <c r="P364" t="s">
        <v>74</v>
      </c>
    </row>
    <row r="365" spans="5:16">
      <c r="E365" t="s">
        <v>811</v>
      </c>
      <c r="F365" t="str">
        <f>值集数据!$E$299</f>
        <v>hpfm_lov_view_header-1092</v>
      </c>
      <c r="G365" t="s">
        <v>73</v>
      </c>
      <c r="H365" t="str">
        <f>值集数据!$E$27</f>
        <v>hpfm_lov-149</v>
      </c>
      <c r="I365" t="s">
        <v>725</v>
      </c>
      <c r="J365" t="s">
        <v>725</v>
      </c>
      <c r="K365" t="s">
        <v>320</v>
      </c>
      <c r="L365" t="s">
        <v>92</v>
      </c>
      <c r="M365" t="s">
        <v>73</v>
      </c>
      <c r="N365" t="s">
        <v>74</v>
      </c>
      <c r="O365" t="s">
        <v>337</v>
      </c>
      <c r="P365" t="s">
        <v>74</v>
      </c>
    </row>
    <row r="366" spans="5:16">
      <c r="E366" t="s">
        <v>812</v>
      </c>
      <c r="F366" t="str">
        <f>值集数据!$E$299</f>
        <v>hpfm_lov_view_header-1092</v>
      </c>
      <c r="G366" t="s">
        <v>73</v>
      </c>
      <c r="H366" t="str">
        <f>值集数据!$E$27</f>
        <v>hpfm_lov-149</v>
      </c>
      <c r="I366" t="s">
        <v>727</v>
      </c>
      <c r="J366" t="s">
        <v>727</v>
      </c>
      <c r="K366" t="s">
        <v>74</v>
      </c>
      <c r="L366" t="s">
        <v>91</v>
      </c>
      <c r="M366" t="s">
        <v>73</v>
      </c>
      <c r="N366" t="s">
        <v>74</v>
      </c>
      <c r="O366" t="s">
        <v>337</v>
      </c>
      <c r="P366" t="s">
        <v>74</v>
      </c>
    </row>
    <row r="367" spans="5:16">
      <c r="E367" t="s">
        <v>813</v>
      </c>
      <c r="F367" t="str">
        <f>值集数据!$E$300</f>
        <v>hpfm_lov_view_header-1094</v>
      </c>
      <c r="G367" t="s">
        <v>73</v>
      </c>
      <c r="H367" t="str">
        <f>值集数据!$E$29</f>
        <v>hpfm_lov-151</v>
      </c>
      <c r="I367" t="s">
        <v>814</v>
      </c>
      <c r="J367" t="s">
        <v>814</v>
      </c>
      <c r="K367" t="s">
        <v>338</v>
      </c>
      <c r="L367" t="s">
        <v>156</v>
      </c>
      <c r="M367" t="s">
        <v>74</v>
      </c>
      <c r="N367" t="s">
        <v>74</v>
      </c>
      <c r="O367" t="s">
        <v>338</v>
      </c>
      <c r="P367" t="s">
        <v>74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README</vt:lpstr>
      <vt:lpstr>值集数据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User</cp:lastModifiedBy>
  <cp:revision>2</cp:revision>
  <dcterms:created xsi:type="dcterms:W3CDTF">2016-10-02T09:34:00Z</dcterms:created>
  <dcterms:modified xsi:type="dcterms:W3CDTF">2020-04-23T12:33:14Z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