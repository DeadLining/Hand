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D:\gitLab\hzero-resource\init-data\hzero-message\hzero_platform\"/>
    </mc:Choice>
  </mc:AlternateContent>
  <xr:revisionPtr revIDLastSave="0" documentId="13_ncr:1_{8F442D00-E2E3-4917-B94D-59248CBA9FAD}" xr6:coauthVersionLast="45" xr6:coauthVersionMax="45" xr10:uidLastSave="{00000000-0000-0000-0000-000000000000}"/>
  <bookViews>
    <workbookView xWindow="-98" yWindow="-98" windowWidth="28996" windowHeight="15796" tabRatio="597" activeTab="1" xr2:uid="{00000000-000D-0000-FFFF-FFFF00000000}"/>
  </bookViews>
  <sheets>
    <sheet name="README" sheetId="1" r:id="rId1"/>
    <sheet name="值集数据" sheetId="2" r:id="rId2"/>
  </sheets>
  <definedNames>
    <definedName name="_xlnm._FilterDatabase" localSheetId="0">README!$D$1:$D$4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w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qewq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61" i="2" l="1"/>
  <c r="F161" i="2"/>
  <c r="H160" i="2"/>
  <c r="F160" i="2"/>
  <c r="H159" i="2"/>
  <c r="F159" i="2"/>
  <c r="H158" i="2"/>
  <c r="F158" i="2"/>
  <c r="H157" i="2"/>
  <c r="F157" i="2"/>
  <c r="H156" i="2"/>
  <c r="F156" i="2"/>
  <c r="H155" i="2"/>
  <c r="F155" i="2"/>
  <c r="H154" i="2"/>
  <c r="F154" i="2"/>
  <c r="H153" i="2"/>
  <c r="F153" i="2"/>
  <c r="H152" i="2"/>
  <c r="F152" i="2"/>
  <c r="H151" i="2"/>
  <c r="F151" i="2"/>
  <c r="H150" i="2"/>
  <c r="F150" i="2"/>
  <c r="H149" i="2"/>
  <c r="F149" i="2"/>
  <c r="H148" i="2"/>
  <c r="F148" i="2"/>
  <c r="H147" i="2"/>
  <c r="F147" i="2"/>
  <c r="H146" i="2"/>
  <c r="F146" i="2"/>
  <c r="H145" i="2"/>
  <c r="F145" i="2"/>
  <c r="H144" i="2"/>
  <c r="F144" i="2"/>
  <c r="H143" i="2"/>
  <c r="F143" i="2"/>
  <c r="H142" i="2"/>
  <c r="F142" i="2"/>
  <c r="H141" i="2"/>
  <c r="F141" i="2"/>
  <c r="H140" i="2"/>
  <c r="F140" i="2"/>
  <c r="H139" i="2"/>
  <c r="F139" i="2"/>
  <c r="H138" i="2"/>
  <c r="F138" i="2"/>
  <c r="H137" i="2"/>
  <c r="F137" i="2"/>
  <c r="H136" i="2"/>
  <c r="F136" i="2"/>
  <c r="H135" i="2"/>
  <c r="F135" i="2"/>
  <c r="H134" i="2"/>
  <c r="F134" i="2"/>
  <c r="H133" i="2"/>
  <c r="F133" i="2"/>
  <c r="H132" i="2"/>
  <c r="F132" i="2"/>
  <c r="H131" i="2"/>
  <c r="F131" i="2"/>
  <c r="H130" i="2"/>
  <c r="F130" i="2"/>
  <c r="H129" i="2"/>
  <c r="F129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</calcChain>
</file>

<file path=xl/sharedStrings.xml><?xml version="1.0" encoding="utf-8"?>
<sst xmlns="http://schemas.openxmlformats.org/spreadsheetml/2006/main" count="1566" uniqueCount="502">
  <si>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</si>
  <si>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</si>
  <si>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</si>
  <si>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</si>
  <si>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</si>
  <si>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</si>
  <si>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</si>
  <si>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</si>
  <si>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</si>
  <si>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</si>
  <si>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</si>
  <si>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</si>
  <si>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</si>
  <si>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</si>
  <si>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</si>
  <si>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</si>
  <si>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</si>
  <si>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</si>
  <si>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</si>
  <si>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</si>
  <si>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</si>
  <si>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</si>
  <si>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</si>
  <si>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</si>
  <si>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</si>
  <si>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</si>
  <si>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</si>
  <si>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</si>
  <si>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</si>
  <si>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</si>
  <si>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</si>
  <si>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</si>
  <si>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</si>
  <si>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</si>
  <si>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</si>
  <si>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</si>
  <si>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</si>
  <si>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</si>
  <si>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</si>
  <si>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</si>
  <si>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</si>
  <si>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</si>
  <si>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</si>
  <si>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</si>
  <si>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</si>
  <si>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</si>
  <si>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</si>
  <si>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</si>
  <si>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</si>
  <si>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</si>
  <si>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</si>
  <si>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</si>
  <si>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LOV表</t>
  </si>
  <si>
    <t>hpfm_lov</t>
  </si>
  <si>
    <t>*lov_id</t>
  </si>
  <si>
    <t>#lov_code</t>
  </si>
  <si>
    <t>lov_type_code</t>
  </si>
  <si>
    <t>route_name</t>
  </si>
  <si>
    <t>lov_name:zh_CN</t>
  </si>
  <si>
    <t>lov_name:en_US</t>
  </si>
  <si>
    <t>description:zh_CN</t>
  </si>
  <si>
    <t>description:en_US</t>
  </si>
  <si>
    <t>#tenant_id</t>
  </si>
  <si>
    <t>parent_lov_code</t>
  </si>
  <si>
    <t>parent_tenant_id</t>
  </si>
  <si>
    <t>custom_sql</t>
  </si>
  <si>
    <t>custom_url</t>
  </si>
  <si>
    <t>value_field</t>
  </si>
  <si>
    <t>display_field</t>
  </si>
  <si>
    <t>must_page_flag</t>
  </si>
  <si>
    <t>enabled_flag</t>
  </si>
  <si>
    <t>translation_sql</t>
  </si>
  <si>
    <t>encrypt_field</t>
  </si>
  <si>
    <t>public_flag</t>
  </si>
  <si>
    <t>hpfm_lov-8</t>
  </si>
  <si>
    <t>HMSG</t>
  </si>
  <si>
    <t>IDP</t>
  </si>
  <si>
    <t>消息</t>
  </si>
  <si>
    <t>0</t>
  </si>
  <si>
    <t>1</t>
  </si>
  <si>
    <t>hpfm_lov-9</t>
  </si>
  <si>
    <t>HMSG.CALL.SERVER_TYPE</t>
  </si>
  <si>
    <t>语音服务类型</t>
  </si>
  <si>
    <t>hpfm_lov-10</t>
  </si>
  <si>
    <t>HMSG.DINGTALK.AUTH_TYPE</t>
  </si>
  <si>
    <t>钉钉授权类型</t>
  </si>
  <si>
    <t>Dingtalk auth type</t>
  </si>
  <si>
    <t>hpfm_lov-11</t>
  </si>
  <si>
    <t>HMSG.EMAIL.FILTER_STRATEGY</t>
  </si>
  <si>
    <t>邮箱账户筛选策略</t>
  </si>
  <si>
    <t>hpfm_lov-12</t>
  </si>
  <si>
    <t>HMSG.EMAIL_PROTOCOL</t>
  </si>
  <si>
    <t>邮件协议</t>
  </si>
  <si>
    <t>hpfm_lov-13</t>
  </si>
  <si>
    <t>HMSG.MESSAGE_CATEGORY</t>
  </si>
  <si>
    <t>消息分类</t>
  </si>
  <si>
    <t>hpfm_lov-14</t>
  </si>
  <si>
    <t>HMSG.MESSAGE_SUBCATEGORY</t>
  </si>
  <si>
    <t>消息子分类</t>
  </si>
  <si>
    <t>hpfm_lov-15</t>
  </si>
  <si>
    <t>HMSG.MESSAGE_TEMPLATE</t>
  </si>
  <si>
    <t>SQL</t>
  </si>
  <si>
    <t>hmsg</t>
  </si>
  <si>
    <t>消息模板</t>
  </si>
  <si>
    <t>templateId</t>
  </si>
  <si>
    <t>hpfm_lov-16</t>
  </si>
  <si>
    <t>HMSG.MESSAGE_TYPE</t>
  </si>
  <si>
    <t>消息模板类型</t>
  </si>
  <si>
    <t>hpfm_lov-17</t>
  </si>
  <si>
    <t>HMSG.NOTICE.NOTICE_CATEGORY</t>
  </si>
  <si>
    <t>公告类别</t>
  </si>
  <si>
    <t>HMSG.NOTICE.RECERVER_TYPE</t>
  </si>
  <si>
    <t>hpfm_lov-18</t>
  </si>
  <si>
    <t>HMSG.NOTICE.NOTICE_TYPE</t>
  </si>
  <si>
    <t>公告类型</t>
  </si>
  <si>
    <t>hpfm_lov-19</t>
  </si>
  <si>
    <t>HMSG.NOTICE.NOTICE_TYPE.CH</t>
  </si>
  <si>
    <t>公告类型-子集</t>
  </si>
  <si>
    <t>hpfm_lov-20</t>
  </si>
  <si>
    <t>HMSG.NOTICE.RECEIVER_RECORD_TYPE</t>
  </si>
  <si>
    <t>接收记录类型</t>
  </si>
  <si>
    <t>hpfm_lov-21</t>
  </si>
  <si>
    <t>公告发布对象类别</t>
  </si>
  <si>
    <t>hpfm_lov-22</t>
  </si>
  <si>
    <t>HMSG.NOTICE.STATUS</t>
  </si>
  <si>
    <t>公告状态</t>
  </si>
  <si>
    <t>hpfm_lov-23</t>
  </si>
  <si>
    <t>HMSG.NOTICE_RECEIVER_UNIT</t>
  </si>
  <si>
    <t>URL</t>
  </si>
  <si>
    <t>公告消息接收方关联组织</t>
  </si>
  <si>
    <t>/v1/{organizationId}/notices/receivers/units</t>
  </si>
  <si>
    <t>hpfm_lov-24</t>
  </si>
  <si>
    <t>HMSG.RECEIVER</t>
  </si>
  <si>
    <t>接收组</t>
  </si>
  <si>
    <t>接收者类型</t>
  </si>
  <si>
    <t>SELECT
	hrt.receiver_type_id,
	hrt.type_code,
	hrt.type_name,
	hrt.tenant_id 
FROM
	hmsg_receiver_type hrt 
WHERE
	hrt.enabled_flag = 1 
        &lt;if test="tenantId != null"&gt;
            AND hrt.tenant_id = #{tenantId}
        &lt;/if&gt;
        &lt;if test='typeCode != null'&gt;
            &lt;bind name="typeCodeLike" value="'%' + typeCode + '%'" /&gt;
            and hrt.type_code like #{typeCodeLike}
        &lt;/if&gt;
        &lt;if test='typeName != null'&gt;
            &lt;bind name="typeNameLike" value="'%' + typeName + '%'" /&gt;
            and hrt.type_name like #{typeNameLike}
        &lt;/if&gt;</t>
  </si>
  <si>
    <t>receiverTypeId</t>
  </si>
  <si>
    <t>hpfm_lov-25</t>
  </si>
  <si>
    <t>HMSG.RECEIVER.TYPE_MODE</t>
  </si>
  <si>
    <t>接收组模式</t>
  </si>
  <si>
    <t>hpfm_lov-26</t>
  </si>
  <si>
    <t>HMSG.RECEIVER_TYPE</t>
  </si>
  <si>
    <t>接收组类型</t>
  </si>
  <si>
    <t>/v1/{organizationId}/receiver-types</t>
  </si>
  <si>
    <t>hpfm_lov-27</t>
  </si>
  <si>
    <t>HMSG.SERVER</t>
  </si>
  <si>
    <t>消息服务</t>
  </si>
  <si>
    <t>select
    server_id,
    server_code,
    server_name
&lt;if test="typeCode == 'SMS'"&gt;
    from hmsg_sms_server
&lt;/if&gt;
&lt;if test="typeCode == 'EMAIL'"&gt;
    from hmsg_email_server
&lt;/if&gt;
&lt;if test="typeCode == 'WC_O'"&gt;
    from hmsg_wechat_official
&lt;/if&gt;
&lt;if test="typeCode == 'WC_E'"&gt;
    from hmsg_wechat_enterprise
&lt;/if&gt;
&lt;if test="typeCode == 'DT'"&gt;
    from hmsg_dingtalk_server
&lt;/if&gt;
&lt;if test="typeCode == 'CALL'"&gt;
    from hmsg_call_server
&lt;/if&gt;
&lt;if test="typeCode == 'WEB_HOOK'"&gt;
    from hmsg_webhook_server
&lt;/if&gt;
where enabled_flag = 1
and tenant_id in (0,#{tenantId})
&lt;if test="serverCode != null and serverCode != ''"&gt;
    &lt;bind name="serverCode" value="'%' + serverCode + '%'"/&gt;
    and server_code like #{serverCode}
&lt;/if&gt;
&lt;if test="serverName != null and serverName != ''"&gt;
    &lt;bind name="serverName" value="'%' + serverName + '%'"/&gt;
    and server_name like #{serverName}
&lt;/if&gt;</t>
  </si>
  <si>
    <t>hpfm_lov-28</t>
  </si>
  <si>
    <t>HMSG.SERVER_WEBHOOK</t>
  </si>
  <si>
    <t>查询WebHook</t>
  </si>
  <si>
    <t>&lt;bind name="lang" value="@io.choerodon.mybatis.helper.LanguageHelper@language()"/&gt;
SELECT
	hws.server_code,
	hws.tenant_id,
	hws.server_name,
        hlvt.meaning server_type_meaning
FROM
	hmsg_webhook_server hws  
JOIN hpfm_lov_value hlv ON hlv.lov_code='HMSG.WEBHOOK_TYPE' AND hws.server_type = hlv.value
JOIN hpfm_lov_value_tl hlvt ON hlv.lov_value_id = hlvt.lov_value_id AND hlvt.lang = #{lang}
WHERE
	hws.tenant_id = 0 
	&lt;if test="tenantId != null and tenantId != 0"&gt;
	OR hws.tenant_id = #{tenantId}
	AND hws.server_id NOT IN (
			SELECT
				hws1.server_id 
			FROM
				hmsg_webhook_server hws1 
			WHERE
				hws1.tenant_id = #{tenantId}
			AND EXISTS ( SELECT 1 FROM hmsg_webhook_server hws2 WHERE hws2.server_code = hws1.server_code AND hws2.tenant_id = #{tenantId} ) 
	)
	&lt;/if&gt;
	AND NOT EXISTS (
	SELECT
		1 
	FROM
		hmsg_template_server_wh htsw 
	WHERE
		htsw.server_code = hws.server_code 
		AND htsw.tenant_id = hws.tenant_id 
		AND htsw.temp_server_line_id = #{tempServerLineId}
	)
&lt;if test="serverCode != null and serverCode != ''"&gt;
	&lt;bind name="serverCodeLike" value="'%'+serverCode+'%'"/&gt;
	AND hws.server_code LIKE #{serverCodeLike}
&lt;/if&gt;
&lt;if test="serverName != null and serverName != ''"&gt;
	&lt;bind name="serverNameLike" value="'%'+serverName+'%'"/&gt;
	AND hws.server_name LIKE #{serverNameLike}
&lt;/if&gt;</t>
  </si>
  <si>
    <t>hpfm_lov-29</t>
  </si>
  <si>
    <t>HMSG.SITE.NOTICE_RECEIVER_UNIT</t>
  </si>
  <si>
    <t>公告发布接收方关联组织</t>
  </si>
  <si>
    <t>/v1/notices/receivers/units</t>
  </si>
  <si>
    <t>hpfm_lov-30</t>
  </si>
  <si>
    <t>HMSG.SITE.USER</t>
  </si>
  <si>
    <t>iam</t>
  </si>
  <si>
    <t>消息服务选择用户</t>
  </si>
  <si>
    <t>Message service selection user</t>
  </si>
  <si>
    <t>SELECT
	iu.id,
	iu.login_name,
	iu.email,
	iu.real_name,
	CONCAT(iu.real_name,CONCAT(CONCAT('(',iu.login_name),')')) splice_name,
	iu.phone 
FROM
	iam_user iu 
WHERE iu.id &gt; 0
&lt;if test="organizationId != null"&gt;
AND iu.organization_id = #{organizationId}
&lt;/if&gt;
and iu.is_enabled = 1
and iu.is_locked = 0
&lt;if test="loginName != null and loginName != ''"&gt;
	&lt;bind name="loginNameLike" value="'%'+loginName+'%'" /&gt;
		AND iu.login_name LIKE #{loginNameLike}
&lt;/if&gt;
&lt;if test="realName != null and realName != ''"&gt;
	&lt;bind name="realNameLike" value="'%'+realName+'%'" /&gt;
		AND iu.real_name LIKE #{realNameLike}
&lt;/if&gt;
&lt;if test="phone != null and phone != ''"&gt;
	&lt;bind name="phoneLike" value="'%'+phone+'%'" /&gt;
		AND iu.phone LIKE #{phoneLike}
&lt;/if&gt;
&lt;if test="email != null and email != ''"&gt;
	&lt;bind name="emailLike" value="'%'+email+'%'" /&gt;
		AND iu.email LIKE #{emailLike}
&lt;/if&gt;
ORDER BY iu.id</t>
  </si>
  <si>
    <t>hpfm_lov-31</t>
  </si>
  <si>
    <t>HMSG.SMS_SERVER_TYPE</t>
  </si>
  <si>
    <t>短信服务类型</t>
  </si>
  <si>
    <t>hpfm_lov-32</t>
  </si>
  <si>
    <t>HMSG.TEMPLATE_SERVER</t>
  </si>
  <si>
    <t>消息模板账户</t>
  </si>
  <si>
    <t>创建消息事件选择消息模板账户</t>
  </si>
  <si>
    <t>SELECT
hts.temp_server_id,
hts.message_code,
hts.message_name,
hts.tenant_id
FROM
hmsg_template_server hts
WHERE 
hts.enabled_flag = 1
&lt;if test="tenantId != null"&gt;
	AND hts.tenant_id = #{tenantId}
&lt;/if&gt;
&lt;if test="messageCode != null and messageCode != ''"&gt;
	&lt;bind name="messageCodeLike" value="'%' + messageCode + '%'"/&gt;
	AND hts.message_code LIKE #{messageCodeLike}
&lt;/if&gt;
&lt;if test="messageName != null and messageName != ''"&gt;
	&lt;bind name="messageNameLike" value="'%' + messageName + '%'"/&gt;
	AND hts.message_name LIKE #{messageNameLike}
&lt;/if&gt;</t>
  </si>
  <si>
    <t>tempServerId</t>
  </si>
  <si>
    <t>hpfm_lov-33</t>
  </si>
  <si>
    <t>HMSG.TEMPLATE_SERVER.TEMPLATE</t>
  </si>
  <si>
    <t>关系维护模板</t>
  </si>
  <si>
    <t>邮件发送关系维护值集</t>
  </si>
  <si>
    <t>SELECT	
			hmt.template_id,
			hmt.template_code,
			hmt.template_name
		FROM
			hmsg_message_template hmt
		WHERE  1=1
                &lt;if test="templateCode!= null and templateCode!= ''"&gt;
                    &lt;bind name="templateCode"  value="'%' + templateCode+ '%'"/&gt;
                    and hmt.template_code like  #{templateCode}
                &lt;/if&gt;
                &lt;if test="templateName!= null and templateName!= ''"&gt;
                    &lt;bind name="templateName" value="'%' + templateName+ '%'"/&gt;
                    and hmt.template_name like #{templateName}
                &lt;/if&gt;
                &lt;if test="tenantId != null and tenantId != ''"&gt;
                    and hmt.tenant_id = #{tenantId}
                &lt;/if&gt;
                &lt;if test="templateId != null and templateId != ''"&gt;
                    and hmt.template_id = #{templateId}
                &lt;/if&gt;</t>
  </si>
  <si>
    <t>hpfm_lov-34</t>
  </si>
  <si>
    <t>HMSG.TEMP_SERVER.CATEGORY</t>
  </si>
  <si>
    <t>消息发送配置分类</t>
  </si>
  <si>
    <t>值只能使用大写</t>
  </si>
  <si>
    <t>ddeb</t>
  </si>
  <si>
    <t>hpfm_lov-35</t>
  </si>
  <si>
    <t>HMSG.TEMP_SERVER.SUBCATEGORY</t>
  </si>
  <si>
    <t>消息发送配置子类型</t>
  </si>
  <si>
    <t>hpfm_lov-36</t>
  </si>
  <si>
    <t>HMSG.TRANSACTION_STATUS</t>
  </si>
  <si>
    <t>消息事务状态</t>
  </si>
  <si>
    <t>hpfm_lov-37</t>
  </si>
  <si>
    <t>HMSG.USER.MESSAGE_TYPE</t>
  </si>
  <si>
    <t>用户消息类型</t>
  </si>
  <si>
    <t>hpfm_lov-38</t>
  </si>
  <si>
    <t>HMSG.WEBHOOK_TYPE</t>
  </si>
  <si>
    <t>WEBHOOK类型</t>
  </si>
  <si>
    <t>hpfm_lov-39</t>
  </si>
  <si>
    <t>HMSG.WECHAT.AUTH_TYPE</t>
  </si>
  <si>
    <t>微信授权类型</t>
  </si>
  <si>
    <t>LOV独立值集表</t>
  </si>
  <si>
    <t>hpfm_lov_value</t>
  </si>
  <si>
    <t>*lov_value_id</t>
  </si>
  <si>
    <t>#lov_id</t>
  </si>
  <si>
    <t>lov_code</t>
  </si>
  <si>
    <t>#value</t>
  </si>
  <si>
    <t>meaning:zh_CN</t>
  </si>
  <si>
    <t>meaning:en_US</t>
  </si>
  <si>
    <t>tag</t>
  </si>
  <si>
    <t>order_seq</t>
  </si>
  <si>
    <t>#parent_value</t>
  </si>
  <si>
    <t>start_date_active(DATE)</t>
  </si>
  <si>
    <t>end_date_active(DATE)</t>
  </si>
  <si>
    <t>*</t>
  </si>
  <si>
    <t>SITE</t>
  </si>
  <si>
    <t>site层级</t>
  </si>
  <si>
    <t>PROJECT</t>
  </si>
  <si>
    <t>project层级</t>
  </si>
  <si>
    <t>ORGANIZATION</t>
  </si>
  <si>
    <t>组织层级</t>
  </si>
  <si>
    <t>JINGDONG</t>
  </si>
  <si>
    <t>京东云</t>
  </si>
  <si>
    <t>标记为表单配置编码</t>
  </si>
  <si>
    <t>HMSG.CALL.JINGDONG</t>
  </si>
  <si>
    <t>10</t>
  </si>
  <si>
    <t>ALI</t>
  </si>
  <si>
    <t>阿里云</t>
  </si>
  <si>
    <t>20</t>
  </si>
  <si>
    <t>DingTalk</t>
  </si>
  <si>
    <t>钉钉</t>
  </si>
  <si>
    <t>Third</t>
  </si>
  <si>
    <t>第三方</t>
  </si>
  <si>
    <t>Third party</t>
  </si>
  <si>
    <t>BLACK</t>
  </si>
  <si>
    <t>黑名单</t>
  </si>
  <si>
    <t>WHITE</t>
  </si>
  <si>
    <t>白名单</t>
  </si>
  <si>
    <t>smtp</t>
  </si>
  <si>
    <t>SMTP</t>
  </si>
  <si>
    <t>pop3</t>
  </si>
  <si>
    <t>POP3</t>
  </si>
  <si>
    <t>imap4</t>
  </si>
  <si>
    <t>IMAP4</t>
  </si>
  <si>
    <t>30</t>
  </si>
  <si>
    <t>SYSTEM</t>
  </si>
  <si>
    <t>系统消息</t>
  </si>
  <si>
    <t>ACTIVE</t>
  </si>
  <si>
    <t>活动消息</t>
  </si>
  <si>
    <t>AGENCY</t>
  </si>
  <si>
    <t>代办消息</t>
  </si>
  <si>
    <t>UR</t>
  </si>
  <si>
    <t>用户注册</t>
  </si>
  <si>
    <t>UC</t>
  </si>
  <si>
    <t>用户消费</t>
  </si>
  <si>
    <t>SH</t>
  </si>
  <si>
    <t>发货通知</t>
  </si>
  <si>
    <t>RE</t>
  </si>
  <si>
    <t>收货通知</t>
  </si>
  <si>
    <t>LI</t>
  </si>
  <si>
    <t>用户登录</t>
  </si>
  <si>
    <t>EMAIL</t>
  </si>
  <si>
    <t>邮件</t>
  </si>
  <si>
    <t>mail</t>
  </si>
  <si>
    <t>SMS</t>
  </si>
  <si>
    <t>短信</t>
  </si>
  <si>
    <t>WEB</t>
  </si>
  <si>
    <t>站内消息</t>
  </si>
  <si>
    <t>Station news</t>
  </si>
  <si>
    <t>WC_E</t>
  </si>
  <si>
    <t>微信企业号</t>
  </si>
  <si>
    <t>WeChat Enterprise</t>
  </si>
  <si>
    <t>40</t>
  </si>
  <si>
    <t>WC_O</t>
  </si>
  <si>
    <t>微信公众号</t>
  </si>
  <si>
    <t>WeChat official account</t>
  </si>
  <si>
    <t>50</t>
  </si>
  <si>
    <t>DT</t>
  </si>
  <si>
    <t>60</t>
  </si>
  <si>
    <t>CALL</t>
  </si>
  <si>
    <t>语音消息</t>
  </si>
  <si>
    <t>25</t>
  </si>
  <si>
    <t>WEB_HOOK</t>
  </si>
  <si>
    <t>WebHook消息</t>
  </si>
  <si>
    <t>70</t>
  </si>
  <si>
    <t>PTGG</t>
  </si>
  <si>
    <t>平台公告</t>
  </si>
  <si>
    <t>XWDT</t>
  </si>
  <si>
    <t>新闻动态</t>
  </si>
  <si>
    <t>2</t>
  </si>
  <si>
    <t>QTGG</t>
  </si>
  <si>
    <t>其它公告</t>
  </si>
  <si>
    <t>6</t>
  </si>
  <si>
    <t>GSTZ</t>
  </si>
  <si>
    <t>公司通知</t>
  </si>
  <si>
    <t>7</t>
  </si>
  <si>
    <t>GSXW</t>
  </si>
  <si>
    <t>公司新闻</t>
  </si>
  <si>
    <t>11</t>
  </si>
  <si>
    <t>GSWD</t>
  </si>
  <si>
    <t>公司稳定</t>
  </si>
  <si>
    <t>12</t>
  </si>
  <si>
    <t>13</t>
  </si>
  <si>
    <t>GSZD</t>
  </si>
  <si>
    <t>公司制度</t>
  </si>
  <si>
    <t>14</t>
  </si>
  <si>
    <t>TENANT</t>
  </si>
  <si>
    <t>租户</t>
  </si>
  <si>
    <t>UNIT</t>
  </si>
  <si>
    <t>组织部门</t>
  </si>
  <si>
    <t>组织</t>
  </si>
  <si>
    <t>USER</t>
  </si>
  <si>
    <t>用户</t>
  </si>
  <si>
    <t>USER_GROUP</t>
  </si>
  <si>
    <t>用户组</t>
  </si>
  <si>
    <t>ALL</t>
  </si>
  <si>
    <t>全局</t>
  </si>
  <si>
    <t>ROLE</t>
  </si>
  <si>
    <t>角色</t>
  </si>
  <si>
    <t>80</t>
  </si>
  <si>
    <t>ANNOUNCE</t>
  </si>
  <si>
    <t>系统公告</t>
  </si>
  <si>
    <t>System announcement</t>
  </si>
  <si>
    <t>NOTIFY</t>
  </si>
  <si>
    <t>系统通知</t>
  </si>
  <si>
    <t>System notice</t>
  </si>
  <si>
    <t>DRAFT</t>
  </si>
  <si>
    <t>待发布</t>
  </si>
  <si>
    <t>草稿</t>
  </si>
  <si>
    <t>PUBLISHED</t>
  </si>
  <si>
    <t>已发布</t>
  </si>
  <si>
    <t>DELETED</t>
  </si>
  <si>
    <t>已删除</t>
  </si>
  <si>
    <t>3</t>
  </si>
  <si>
    <t>接口</t>
  </si>
  <si>
    <t>ORG</t>
  </si>
  <si>
    <t>ALIYUN</t>
  </si>
  <si>
    <t>QCLOUD</t>
  </si>
  <si>
    <t>腾讯云</t>
  </si>
  <si>
    <t>BAIDU</t>
  </si>
  <si>
    <t>百度云</t>
  </si>
  <si>
    <t>平台级</t>
  </si>
  <si>
    <t>租户级</t>
  </si>
  <si>
    <t>账户</t>
  </si>
  <si>
    <t>TEST</t>
  </si>
  <si>
    <t>测试</t>
  </si>
  <si>
    <t>P</t>
  </si>
  <si>
    <t>就绪</t>
  </si>
  <si>
    <t>S</t>
  </si>
  <si>
    <t>成功</t>
  </si>
  <si>
    <t>F</t>
  </si>
  <si>
    <t>失败</t>
  </si>
  <si>
    <t>MSG</t>
  </si>
  <si>
    <t>NOTICE</t>
  </si>
  <si>
    <t>公告消息</t>
  </si>
  <si>
    <t>WeChat</t>
  </si>
  <si>
    <t>企业微信</t>
  </si>
  <si>
    <t>Json</t>
  </si>
  <si>
    <t>JSON</t>
  </si>
  <si>
    <t>微信</t>
  </si>
  <si>
    <t>值集查询视图头表</t>
  </si>
  <si>
    <t>hpfm_lov_view_header</t>
  </si>
  <si>
    <t>*view_header_id</t>
  </si>
  <si>
    <t>#view_code</t>
  </si>
  <si>
    <t>view_name:zh_CN</t>
  </si>
  <si>
    <t>view_name:en_US</t>
  </si>
  <si>
    <t>lov_id</t>
  </si>
  <si>
    <t>title:zh_CN</t>
  </si>
  <si>
    <t>title:en_US</t>
  </si>
  <si>
    <t>width</t>
  </si>
  <si>
    <t>height</t>
  </si>
  <si>
    <t>page_size</t>
  </si>
  <si>
    <t>delay_load_flag</t>
  </si>
  <si>
    <t>children_field_name</t>
  </si>
  <si>
    <t>hpfm_lov_view_header-114</t>
  </si>
  <si>
    <t>templateCode</t>
  </si>
  <si>
    <t>选择消息模板</t>
  </si>
  <si>
    <t>hpfm_lov_view_header-115</t>
  </si>
  <si>
    <t>公告接收方关联组织</t>
  </si>
  <si>
    <t>unitId</t>
  </si>
  <si>
    <t>unitName</t>
  </si>
  <si>
    <t>选择组织</t>
  </si>
  <si>
    <t>hpfm_lov_view_header-116</t>
  </si>
  <si>
    <t>typeName</t>
  </si>
  <si>
    <t>选择接收者类型</t>
  </si>
  <si>
    <t>hpfm_lov_view_header-117</t>
  </si>
  <si>
    <t>模板关系选择服务</t>
  </si>
  <si>
    <t>serverCode</t>
  </si>
  <si>
    <t>选择服务</t>
  </si>
  <si>
    <t>hpfm_lov_view_header-118</t>
  </si>
  <si>
    <t>serverName</t>
  </si>
  <si>
    <t>hpfm_lov_view_header-119</t>
  </si>
  <si>
    <t>HMSG.SERVER_WITH_ID</t>
  </si>
  <si>
    <t>serverId</t>
  </si>
  <si>
    <t>hpfm_lov_view_header-120</t>
  </si>
  <si>
    <t>hpfm_lov_view_header-121</t>
  </si>
  <si>
    <t>id</t>
  </si>
  <si>
    <t>spliceName</t>
  </si>
  <si>
    <t>hpfm_lov_view_header-122</t>
  </si>
  <si>
    <t>messageName</t>
  </si>
  <si>
    <t>选择消息模板账户</t>
  </si>
  <si>
    <t>hpfm_lov_view_header-123</t>
  </si>
  <si>
    <t>邮件关系维护模板</t>
  </si>
  <si>
    <t>选择模板</t>
  </si>
  <si>
    <t>hpfm_lov_view_header-124</t>
  </si>
  <si>
    <t>HMSG.TEMPLATE_TYPE</t>
  </si>
  <si>
    <t>value</t>
  </si>
  <si>
    <t>meaning</t>
  </si>
  <si>
    <t>选择消息模板类型</t>
  </si>
  <si>
    <t>hpfm_lov_view_header-125</t>
  </si>
  <si>
    <t>HMSG.TEMP_SERVER.MESSAGE_TEMP</t>
  </si>
  <si>
    <t>发送配置消息模板</t>
  </si>
  <si>
    <t>hpfm_lov_view_header-126</t>
  </si>
  <si>
    <t>消息发送事务状态</t>
  </si>
  <si>
    <t>code</t>
  </si>
  <si>
    <t>选择消息发送事务状态</t>
  </si>
  <si>
    <t>值集查询视图行表</t>
  </si>
  <si>
    <t>hpfm_lov_view_line</t>
  </si>
  <si>
    <t>*view_line_id</t>
  </si>
  <si>
    <t>#view_header_id</t>
  </si>
  <si>
    <t>tenant_id</t>
  </si>
  <si>
    <t>display:zh_CN</t>
  </si>
  <si>
    <t>display:en_US</t>
  </si>
  <si>
    <t>#field_name</t>
  </si>
  <si>
    <t>query_field_flag</t>
  </si>
  <si>
    <t>table_field_flag</t>
  </si>
  <si>
    <t>table_field_width</t>
  </si>
  <si>
    <t>hpfm_lov_view_line-129</t>
  </si>
  <si>
    <t>租户Id</t>
  </si>
  <si>
    <t>tenantId</t>
  </si>
  <si>
    <t>200</t>
  </si>
  <si>
    <t>hpfm_lov_view_line-130</t>
  </si>
  <si>
    <t>组织编码</t>
  </si>
  <si>
    <t>unitCode</t>
  </si>
  <si>
    <t>hpfm_lov_view_line-131</t>
  </si>
  <si>
    <t>组织Id</t>
  </si>
  <si>
    <t>hpfm_lov_view_line-132</t>
  </si>
  <si>
    <t>组织名称</t>
  </si>
  <si>
    <t>hpfm_lov_view_line-133</t>
  </si>
  <si>
    <t>接收组编码</t>
  </si>
  <si>
    <t>typeCode</t>
  </si>
  <si>
    <t>350</t>
  </si>
  <si>
    <t>hpfm_lov_view_line-134</t>
  </si>
  <si>
    <t>接收组名称</t>
  </si>
  <si>
    <t>hpfm_lov_view_line-135</t>
  </si>
  <si>
    <t>账户代码</t>
  </si>
  <si>
    <t>300</t>
  </si>
  <si>
    <t>hpfm_lov_view_line-136</t>
  </si>
  <si>
    <t>账户名称</t>
  </si>
  <si>
    <t>hpfm_lov_view_line-137</t>
  </si>
  <si>
    <t>hpfm_lov_view_line-138</t>
  </si>
  <si>
    <t>hpfm_lov_view_line-139</t>
  </si>
  <si>
    <t>账户类型</t>
  </si>
  <si>
    <t>serverTypeMeaning</t>
  </si>
  <si>
    <t>hpfm_lov_view_line-140</t>
  </si>
  <si>
    <t>服务代码</t>
  </si>
  <si>
    <t>hpfm_lov_view_line-141</t>
  </si>
  <si>
    <t>服务名称</t>
  </si>
  <si>
    <t>hpfm_lov_view_line-142</t>
  </si>
  <si>
    <t>租户ID</t>
  </si>
  <si>
    <t>hpfm_lov_view_line-143</t>
  </si>
  <si>
    <t>hpfm_lov_view_line-144</t>
  </si>
  <si>
    <t>hpfm_lov_view_line-145</t>
  </si>
  <si>
    <t>组织ID</t>
  </si>
  <si>
    <t>hpfm_lov_view_line-146</t>
  </si>
  <si>
    <t>hpfm_lov_view_line-147</t>
  </si>
  <si>
    <t>邮箱</t>
  </si>
  <si>
    <t>mailbox</t>
  </si>
  <si>
    <t>email</t>
  </si>
  <si>
    <t>hpfm_lov_view_line-148</t>
  </si>
  <si>
    <t>用户名</t>
  </si>
  <si>
    <t>username</t>
  </si>
  <si>
    <t>loginName</t>
  </si>
  <si>
    <t>140</t>
  </si>
  <si>
    <t>hpfm_lov_view_line-149</t>
  </si>
  <si>
    <t>电话</t>
  </si>
  <si>
    <t>phone</t>
  </si>
  <si>
    <t>150</t>
  </si>
  <si>
    <t>hpfm_lov_view_line-150</t>
  </si>
  <si>
    <t>名称</t>
  </si>
  <si>
    <t>name</t>
  </si>
  <si>
    <t>realName</t>
  </si>
  <si>
    <t>hpfm_lov_view_line-151</t>
  </si>
  <si>
    <t>消息代码</t>
  </si>
  <si>
    <t>messageCode</t>
  </si>
  <si>
    <t>hpfm_lov_view_line-152</t>
  </si>
  <si>
    <t>消息名称</t>
  </si>
  <si>
    <t>hpfm_lov_view_line-153</t>
  </si>
  <si>
    <t>模板编码</t>
  </si>
  <si>
    <t>hpfm_lov_view_line-154</t>
  </si>
  <si>
    <t>模板名称</t>
  </si>
  <si>
    <t>templateName</t>
  </si>
  <si>
    <t>hpfm_lov_view_line-155</t>
  </si>
  <si>
    <t>视图模板名称</t>
  </si>
  <si>
    <t>100</t>
  </si>
  <si>
    <t>hpfm_lov_view_line-156</t>
  </si>
  <si>
    <t>视图模板编码</t>
  </si>
  <si>
    <t>hpfm_lov_view_line-157</t>
  </si>
  <si>
    <t>langName</t>
  </si>
  <si>
    <t>hpfm_lov_view_line-158</t>
  </si>
  <si>
    <t>hpfm_lov_view_line-159</t>
  </si>
  <si>
    <t>hpfm_lov_view_line-160</t>
  </si>
  <si>
    <t>发送状态编码</t>
  </si>
  <si>
    <t>hpfm_lov_view_line-161</t>
  </si>
  <si>
    <t>发送状态值</t>
  </si>
  <si>
    <t>HMSG.MESSAGE_TEMPLATE</t>
    <phoneticPr fontId="17" type="noConversion"/>
  </si>
  <si>
    <t>SELECT
    template_id,
 template_code,
 template_name,
 concat(template_name, concat('(', concat(lang, ')'))) lang_name
FROM
 hmsg_message_template 
WHERE
        enabled_flag = 1
AND tenant_id IN ( 0
&lt;if test=""tenantId != null""&gt;
, #{tenantId}
&lt;/if&gt;
 )
&lt;if test=""templateCode != null and templateCode != ''""&gt;
&lt;bind name =""templateCode"" value = ""'%' + templateCode + '%'""/&gt;
AND template_code like #{templateCode}
&lt;/if&gt;
&lt;if test=""templateName != null and templateName != ''""&gt;
&lt;bind name =""templateName"" value = ""'%' + templateName + '%'""/&gt;
AND template_name like #{templateName}
&lt;/if&gt;
ORDER BY template_code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</si>
</sst>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sz val="11"/>
      <color indexed="4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61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4" fillId="0" borderId="0" xfId="0" applyFont="1"/>
    <xf numFmtId="0" fontId="14" fillId="0" borderId="0" xfId="0" applyFont="1" applyAlignment="1">
      <alignment wrapText="1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workbookViewId="0">
      <selection activeCell="G17" sqref="G17"/>
    </sheetView>
  </sheetViews>
  <sheetFormatPr defaultColWidth="9" defaultRowHeight="16.149999999999999"/>
  <cols>
    <col min="1" max="1" width="15.5234375" style="1" customWidth="1"/>
    <col min="2" max="2" width="10.3125" style="2" customWidth="1"/>
    <col min="3" max="3" width="28.1015625" customWidth="1"/>
    <col min="4" max="4" width="35.3125" style="3" customWidth="1"/>
    <col min="5" max="5" width="38.5234375" customWidth="1"/>
    <col min="6" max="6" width="23.41796875" customWidth="1"/>
    <col min="7" max="7" width="21.5234375" customWidth="1"/>
    <col min="8" max="8" width="22" customWidth="1"/>
    <col min="9" max="9" width="24.5234375" customWidth="1"/>
    <col min="10" max="10" width="27" customWidth="1"/>
    <col min="11" max="11" width="19.1015625" customWidth="1"/>
    <col min="12" max="12" width="18.5234375" customWidth="1"/>
    <col min="13" max="13" width="13.1015625" customWidth="1"/>
    <col min="14" max="1025" width="10.3125" customWidth="1"/>
  </cols>
  <sheetData>
    <row r="1" spans="1:8" ht="64.5" customHeight="1">
      <c r="A1" s="4"/>
      <c r="C1" s="55" t="s">
        <v>0</v>
      </c>
      <c r="D1" s="55"/>
      <c r="E1" s="55"/>
      <c r="F1" s="5"/>
      <c r="G1" s="5"/>
      <c r="H1" s="5"/>
    </row>
    <row r="2" spans="1:8" ht="16.899999999999999">
      <c r="E2" s="6"/>
    </row>
    <row r="3" spans="1:8" ht="49.5" customHeight="1">
      <c r="C3" s="54" t="s">
        <v>1</v>
      </c>
      <c r="D3" s="54"/>
      <c r="E3" s="56" t="s">
        <v>2</v>
      </c>
      <c r="F3" s="56"/>
      <c r="G3" s="56"/>
    </row>
    <row r="4" spans="1:8" ht="16.899999999999999">
      <c r="C4" s="57" t="s">
        <v>3</v>
      </c>
      <c r="D4" s="57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6.899999999999999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48.4">
      <c r="C9" s="16" t="s">
        <v>13</v>
      </c>
      <c r="D9" s="17" t="s">
        <v>14</v>
      </c>
      <c r="E9" s="18" t="s">
        <v>15</v>
      </c>
      <c r="F9" t="s">
        <v>16</v>
      </c>
    </row>
    <row r="10" spans="1:8" ht="48.4">
      <c r="C10" s="19" t="s">
        <v>17</v>
      </c>
      <c r="D10" s="17" t="s">
        <v>18</v>
      </c>
      <c r="E10" s="18" t="s">
        <v>19</v>
      </c>
    </row>
    <row r="11" spans="1:8" ht="64.5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2.2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58" t="s">
        <v>30</v>
      </c>
      <c r="D19" s="58"/>
      <c r="E19" s="58"/>
    </row>
    <row r="20" spans="3:5" ht="16.899999999999999">
      <c r="C20" s="24" t="s">
        <v>31</v>
      </c>
      <c r="D20" s="6" t="s">
        <v>32</v>
      </c>
    </row>
    <row r="21" spans="3:5" ht="16.899999999999999">
      <c r="C21" s="24" t="s">
        <v>33</v>
      </c>
      <c r="D21" s="6" t="s">
        <v>34</v>
      </c>
    </row>
    <row r="22" spans="3:5" ht="16.899999999999999">
      <c r="C22" s="24" t="s">
        <v>35</v>
      </c>
      <c r="D22" s="3" t="s">
        <v>36</v>
      </c>
    </row>
    <row r="23" spans="3:5" ht="16.899999999999999">
      <c r="C23" s="24" t="s">
        <v>37</v>
      </c>
      <c r="D23" s="3" t="s">
        <v>38</v>
      </c>
    </row>
    <row r="25" spans="3:5" ht="69" customHeight="1">
      <c r="C25" s="25" t="s">
        <v>39</v>
      </c>
      <c r="D25" s="54" t="s">
        <v>40</v>
      </c>
      <c r="E25" s="54"/>
    </row>
    <row r="26" spans="3:5" ht="14.25" customHeight="1">
      <c r="C26" s="14" t="s">
        <v>41</v>
      </c>
      <c r="D26" s="54" t="s">
        <v>42</v>
      </c>
      <c r="E26" s="54"/>
    </row>
    <row r="27" spans="3:5" ht="48.4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61"/>
  <sheetViews>
    <sheetView tabSelected="1" topLeftCell="A5" workbookViewId="0">
      <selection activeCell="L15" sqref="L15"/>
    </sheetView>
  </sheetViews>
  <sheetFormatPr defaultRowHeight="16.149999999999999"/>
  <cols>
    <col min="6" max="6" width="32.9453125" customWidth="1"/>
  </cols>
  <sheetData>
    <row r="1" spans="1:24">
      <c r="A1" s="27" t="s">
        <v>44</v>
      </c>
      <c r="B1" s="28" t="s">
        <v>45</v>
      </c>
      <c r="C1" s="29" t="s">
        <v>9</v>
      </c>
      <c r="D1" s="30" t="s">
        <v>46</v>
      </c>
    </row>
    <row r="4" spans="1:24">
      <c r="E4" s="31" t="s">
        <v>47</v>
      </c>
      <c r="F4" s="32" t="s">
        <v>48</v>
      </c>
      <c r="G4" s="33" t="s">
        <v>49</v>
      </c>
    </row>
    <row r="7" spans="1:24">
      <c r="A7" t="s">
        <v>50</v>
      </c>
      <c r="B7" t="s">
        <v>51</v>
      </c>
      <c r="C7" t="s">
        <v>52</v>
      </c>
      <c r="D7" s="34" t="s">
        <v>53</v>
      </c>
      <c r="E7" s="35" t="s">
        <v>54</v>
      </c>
      <c r="F7" s="36" t="s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s="37" t="s">
        <v>62</v>
      </c>
      <c r="N7" t="s">
        <v>63</v>
      </c>
      <c r="O7" t="s">
        <v>64</v>
      </c>
      <c r="P7" t="s">
        <v>65</v>
      </c>
      <c r="Q7" t="s">
        <v>66</v>
      </c>
      <c r="R7" t="s">
        <v>67</v>
      </c>
      <c r="S7" t="s">
        <v>68</v>
      </c>
      <c r="T7" t="s">
        <v>69</v>
      </c>
      <c r="U7" t="s">
        <v>70</v>
      </c>
      <c r="V7" t="s">
        <v>71</v>
      </c>
      <c r="W7" t="s">
        <v>72</v>
      </c>
      <c r="X7" t="s">
        <v>73</v>
      </c>
    </row>
    <row r="8" spans="1:24">
      <c r="E8" t="s">
        <v>74</v>
      </c>
      <c r="F8" t="s">
        <v>75</v>
      </c>
      <c r="G8" t="s">
        <v>76</v>
      </c>
      <c r="I8" t="s">
        <v>77</v>
      </c>
      <c r="J8" t="s">
        <v>77</v>
      </c>
      <c r="M8" t="s">
        <v>78</v>
      </c>
      <c r="T8" t="s">
        <v>79</v>
      </c>
      <c r="U8" t="s">
        <v>79</v>
      </c>
      <c r="W8" t="s">
        <v>78</v>
      </c>
      <c r="X8" t="s">
        <v>78</v>
      </c>
    </row>
    <row r="9" spans="1:24">
      <c r="E9" t="s">
        <v>80</v>
      </c>
      <c r="F9" t="s">
        <v>81</v>
      </c>
      <c r="G9" t="s">
        <v>76</v>
      </c>
      <c r="I9" t="s">
        <v>82</v>
      </c>
      <c r="J9" t="s">
        <v>82</v>
      </c>
      <c r="M9" t="s">
        <v>78</v>
      </c>
      <c r="T9" t="s">
        <v>79</v>
      </c>
      <c r="U9" t="s">
        <v>79</v>
      </c>
      <c r="X9" t="s">
        <v>78</v>
      </c>
    </row>
    <row r="10" spans="1:24">
      <c r="E10" t="s">
        <v>83</v>
      </c>
      <c r="F10" t="s">
        <v>84</v>
      </c>
      <c r="G10" t="s">
        <v>76</v>
      </c>
      <c r="I10" t="s">
        <v>85</v>
      </c>
      <c r="J10" t="s">
        <v>86</v>
      </c>
      <c r="M10" t="s">
        <v>78</v>
      </c>
      <c r="T10" t="s">
        <v>79</v>
      </c>
      <c r="U10" t="s">
        <v>79</v>
      </c>
      <c r="X10" t="s">
        <v>78</v>
      </c>
    </row>
    <row r="11" spans="1:24">
      <c r="E11" t="s">
        <v>87</v>
      </c>
      <c r="F11" t="s">
        <v>88</v>
      </c>
      <c r="G11" t="s">
        <v>76</v>
      </c>
      <c r="I11" t="s">
        <v>89</v>
      </c>
      <c r="J11" t="s">
        <v>89</v>
      </c>
      <c r="M11" t="s">
        <v>78</v>
      </c>
      <c r="T11" t="s">
        <v>79</v>
      </c>
      <c r="U11" t="s">
        <v>79</v>
      </c>
      <c r="X11" t="s">
        <v>78</v>
      </c>
    </row>
    <row r="12" spans="1:24">
      <c r="E12" t="s">
        <v>90</v>
      </c>
      <c r="F12" t="s">
        <v>91</v>
      </c>
      <c r="G12" t="s">
        <v>76</v>
      </c>
      <c r="I12" t="s">
        <v>92</v>
      </c>
      <c r="J12" t="s">
        <v>92</v>
      </c>
      <c r="M12" t="s">
        <v>78</v>
      </c>
      <c r="T12" t="s">
        <v>79</v>
      </c>
      <c r="U12" t="s">
        <v>79</v>
      </c>
      <c r="X12" t="s">
        <v>78</v>
      </c>
    </row>
    <row r="13" spans="1:24">
      <c r="E13" t="s">
        <v>93</v>
      </c>
      <c r="F13" t="s">
        <v>94</v>
      </c>
      <c r="G13" t="s">
        <v>76</v>
      </c>
      <c r="I13" t="s">
        <v>95</v>
      </c>
      <c r="J13" t="s">
        <v>95</v>
      </c>
      <c r="M13" t="s">
        <v>78</v>
      </c>
      <c r="T13" t="s">
        <v>79</v>
      </c>
      <c r="U13" t="s">
        <v>79</v>
      </c>
      <c r="X13" t="s">
        <v>78</v>
      </c>
    </row>
    <row r="14" spans="1:24">
      <c r="E14" t="s">
        <v>96</v>
      </c>
      <c r="F14" t="s">
        <v>97</v>
      </c>
      <c r="G14" t="s">
        <v>76</v>
      </c>
      <c r="I14" t="s">
        <v>98</v>
      </c>
      <c r="J14" t="s">
        <v>98</v>
      </c>
      <c r="M14" t="s">
        <v>78</v>
      </c>
      <c r="N14" t="s">
        <v>94</v>
      </c>
      <c r="O14" t="s">
        <v>78</v>
      </c>
      <c r="T14" t="s">
        <v>79</v>
      </c>
      <c r="U14" t="s">
        <v>79</v>
      </c>
      <c r="X14" t="s">
        <v>78</v>
      </c>
    </row>
    <row r="15" spans="1:24" ht="409.5">
      <c r="E15" t="s">
        <v>99</v>
      </c>
      <c r="F15" s="59" t="s">
        <v>500</v>
      </c>
      <c r="G15" t="s">
        <v>101</v>
      </c>
      <c r="H15" t="s">
        <v>102</v>
      </c>
      <c r="I15" t="s">
        <v>103</v>
      </c>
      <c r="J15" t="s">
        <v>103</v>
      </c>
      <c r="M15" t="s">
        <v>78</v>
      </c>
      <c r="P15" s="60" t="s">
        <v>501</v>
      </c>
      <c r="T15" t="s">
        <v>79</v>
      </c>
      <c r="U15" t="s">
        <v>79</v>
      </c>
      <c r="W15" t="s">
        <v>104</v>
      </c>
      <c r="X15" t="s">
        <v>78</v>
      </c>
    </row>
    <row r="16" spans="1:24">
      <c r="E16" t="s">
        <v>105</v>
      </c>
      <c r="F16" t="s">
        <v>106</v>
      </c>
      <c r="G16" t="s">
        <v>76</v>
      </c>
      <c r="I16" t="s">
        <v>107</v>
      </c>
      <c r="J16" t="s">
        <v>107</v>
      </c>
      <c r="M16" t="s">
        <v>78</v>
      </c>
      <c r="T16" t="s">
        <v>79</v>
      </c>
      <c r="U16" t="s">
        <v>79</v>
      </c>
      <c r="X16" t="s">
        <v>78</v>
      </c>
    </row>
    <row r="17" spans="5:24">
      <c r="E17" t="s">
        <v>108</v>
      </c>
      <c r="F17" t="s">
        <v>109</v>
      </c>
      <c r="G17" t="s">
        <v>76</v>
      </c>
      <c r="I17" t="s">
        <v>110</v>
      </c>
      <c r="J17" t="s">
        <v>110</v>
      </c>
      <c r="K17" t="s">
        <v>110</v>
      </c>
      <c r="L17" t="s">
        <v>110</v>
      </c>
      <c r="M17" t="s">
        <v>78</v>
      </c>
      <c r="N17" t="s">
        <v>111</v>
      </c>
      <c r="O17" t="s">
        <v>78</v>
      </c>
      <c r="T17" t="s">
        <v>79</v>
      </c>
      <c r="U17" t="s">
        <v>79</v>
      </c>
      <c r="X17" t="s">
        <v>78</v>
      </c>
    </row>
    <row r="18" spans="5:24">
      <c r="E18" t="s">
        <v>112</v>
      </c>
      <c r="F18" t="s">
        <v>113</v>
      </c>
      <c r="G18" t="s">
        <v>76</v>
      </c>
      <c r="I18" t="s">
        <v>114</v>
      </c>
      <c r="J18" t="s">
        <v>114</v>
      </c>
      <c r="K18" t="s">
        <v>114</v>
      </c>
      <c r="L18" t="s">
        <v>114</v>
      </c>
      <c r="M18" t="s">
        <v>78</v>
      </c>
      <c r="T18" t="s">
        <v>79</v>
      </c>
      <c r="U18" t="s">
        <v>79</v>
      </c>
      <c r="X18" t="s">
        <v>78</v>
      </c>
    </row>
    <row r="19" spans="5:24">
      <c r="E19" t="s">
        <v>115</v>
      </c>
      <c r="F19" t="s">
        <v>116</v>
      </c>
      <c r="G19" t="s">
        <v>76</v>
      </c>
      <c r="I19" t="s">
        <v>117</v>
      </c>
      <c r="J19" t="s">
        <v>117</v>
      </c>
      <c r="K19" t="s">
        <v>117</v>
      </c>
      <c r="L19" t="s">
        <v>117</v>
      </c>
      <c r="M19" t="s">
        <v>78</v>
      </c>
      <c r="N19" t="s">
        <v>113</v>
      </c>
      <c r="O19" t="s">
        <v>78</v>
      </c>
      <c r="T19" t="s">
        <v>79</v>
      </c>
      <c r="U19" t="s">
        <v>79</v>
      </c>
      <c r="X19" t="s">
        <v>78</v>
      </c>
    </row>
    <row r="20" spans="5:24">
      <c r="E20" t="s">
        <v>118</v>
      </c>
      <c r="F20" t="s">
        <v>119</v>
      </c>
      <c r="G20" t="s">
        <v>76</v>
      </c>
      <c r="I20" t="s">
        <v>120</v>
      </c>
      <c r="J20" t="s">
        <v>120</v>
      </c>
      <c r="K20" t="s">
        <v>120</v>
      </c>
      <c r="L20" t="s">
        <v>120</v>
      </c>
      <c r="M20" t="s">
        <v>78</v>
      </c>
      <c r="T20" t="s">
        <v>79</v>
      </c>
      <c r="U20" t="s">
        <v>79</v>
      </c>
      <c r="X20" t="s">
        <v>78</v>
      </c>
    </row>
    <row r="21" spans="5:24">
      <c r="E21" t="s">
        <v>121</v>
      </c>
      <c r="F21" t="s">
        <v>111</v>
      </c>
      <c r="G21" t="s">
        <v>76</v>
      </c>
      <c r="I21" t="s">
        <v>122</v>
      </c>
      <c r="J21" t="s">
        <v>122</v>
      </c>
      <c r="K21" t="s">
        <v>122</v>
      </c>
      <c r="L21" t="s">
        <v>122</v>
      </c>
      <c r="M21" t="s">
        <v>78</v>
      </c>
      <c r="T21" t="s">
        <v>79</v>
      </c>
      <c r="U21" t="s">
        <v>79</v>
      </c>
      <c r="X21" t="s">
        <v>78</v>
      </c>
    </row>
    <row r="22" spans="5:24">
      <c r="E22" t="s">
        <v>123</v>
      </c>
      <c r="F22" t="s">
        <v>124</v>
      </c>
      <c r="G22" t="s">
        <v>76</v>
      </c>
      <c r="I22" t="s">
        <v>125</v>
      </c>
      <c r="J22" t="s">
        <v>125</v>
      </c>
      <c r="K22" t="s">
        <v>125</v>
      </c>
      <c r="L22" t="s">
        <v>125</v>
      </c>
      <c r="M22" t="s">
        <v>78</v>
      </c>
      <c r="T22" t="s">
        <v>79</v>
      </c>
      <c r="U22" t="s">
        <v>79</v>
      </c>
      <c r="X22" t="s">
        <v>78</v>
      </c>
    </row>
    <row r="23" spans="5:24">
      <c r="E23" t="s">
        <v>126</v>
      </c>
      <c r="F23" t="s">
        <v>127</v>
      </c>
      <c r="G23" t="s">
        <v>128</v>
      </c>
      <c r="H23" t="s">
        <v>102</v>
      </c>
      <c r="I23" t="s">
        <v>129</v>
      </c>
      <c r="J23" t="s">
        <v>129</v>
      </c>
      <c r="K23" t="s">
        <v>129</v>
      </c>
      <c r="L23" t="s">
        <v>129</v>
      </c>
      <c r="M23" t="s">
        <v>78</v>
      </c>
      <c r="Q23" t="s">
        <v>130</v>
      </c>
      <c r="T23" t="s">
        <v>79</v>
      </c>
      <c r="U23" t="s">
        <v>79</v>
      </c>
      <c r="X23" t="s">
        <v>78</v>
      </c>
    </row>
    <row r="24" spans="5:24">
      <c r="E24" t="s">
        <v>131</v>
      </c>
      <c r="F24" t="s">
        <v>132</v>
      </c>
      <c r="G24" t="s">
        <v>101</v>
      </c>
      <c r="H24" t="s">
        <v>102</v>
      </c>
      <c r="I24" t="s">
        <v>133</v>
      </c>
      <c r="J24" t="s">
        <v>134</v>
      </c>
      <c r="M24" t="s">
        <v>78</v>
      </c>
      <c r="P24" t="s">
        <v>135</v>
      </c>
      <c r="T24" t="s">
        <v>79</v>
      </c>
      <c r="U24" t="s">
        <v>79</v>
      </c>
      <c r="W24" t="s">
        <v>136</v>
      </c>
      <c r="X24" t="s">
        <v>78</v>
      </c>
    </row>
    <row r="25" spans="5:24">
      <c r="E25" t="s">
        <v>137</v>
      </c>
      <c r="F25" t="s">
        <v>138</v>
      </c>
      <c r="G25" t="s">
        <v>76</v>
      </c>
      <c r="I25" t="s">
        <v>139</v>
      </c>
      <c r="J25" t="s">
        <v>139</v>
      </c>
      <c r="K25" t="s">
        <v>139</v>
      </c>
      <c r="L25" t="s">
        <v>139</v>
      </c>
      <c r="M25" t="s">
        <v>78</v>
      </c>
      <c r="T25" t="s">
        <v>79</v>
      </c>
      <c r="U25" t="s">
        <v>79</v>
      </c>
      <c r="X25" t="s">
        <v>79</v>
      </c>
    </row>
    <row r="26" spans="5:24">
      <c r="E26" t="s">
        <v>140</v>
      </c>
      <c r="F26" t="s">
        <v>141</v>
      </c>
      <c r="G26" t="s">
        <v>128</v>
      </c>
      <c r="H26" t="s">
        <v>102</v>
      </c>
      <c r="I26" t="s">
        <v>142</v>
      </c>
      <c r="J26" t="s">
        <v>134</v>
      </c>
      <c r="M26" t="s">
        <v>78</v>
      </c>
      <c r="Q26" t="s">
        <v>143</v>
      </c>
      <c r="T26" t="s">
        <v>79</v>
      </c>
      <c r="U26" t="s">
        <v>79</v>
      </c>
      <c r="X26" t="s">
        <v>78</v>
      </c>
    </row>
    <row r="27" spans="5:24">
      <c r="E27" t="s">
        <v>144</v>
      </c>
      <c r="F27" t="s">
        <v>145</v>
      </c>
      <c r="G27" t="s">
        <v>101</v>
      </c>
      <c r="H27" t="s">
        <v>102</v>
      </c>
      <c r="I27" t="s">
        <v>146</v>
      </c>
      <c r="J27" t="s">
        <v>146</v>
      </c>
      <c r="K27" t="s">
        <v>146</v>
      </c>
      <c r="L27" t="s">
        <v>146</v>
      </c>
      <c r="M27" t="s">
        <v>78</v>
      </c>
      <c r="P27" t="s">
        <v>147</v>
      </c>
      <c r="T27" t="s">
        <v>79</v>
      </c>
      <c r="U27" t="s">
        <v>79</v>
      </c>
      <c r="X27" t="s">
        <v>78</v>
      </c>
    </row>
    <row r="28" spans="5:24">
      <c r="E28" t="s">
        <v>148</v>
      </c>
      <c r="F28" t="s">
        <v>149</v>
      </c>
      <c r="G28" t="s">
        <v>101</v>
      </c>
      <c r="H28" t="s">
        <v>102</v>
      </c>
      <c r="I28" t="s">
        <v>150</v>
      </c>
      <c r="J28" t="s">
        <v>150</v>
      </c>
      <c r="M28" t="s">
        <v>78</v>
      </c>
      <c r="P28" t="s">
        <v>151</v>
      </c>
      <c r="T28" t="s">
        <v>79</v>
      </c>
      <c r="U28" t="s">
        <v>79</v>
      </c>
      <c r="X28" t="s">
        <v>78</v>
      </c>
    </row>
    <row r="29" spans="5:24">
      <c r="E29" t="s">
        <v>152</v>
      </c>
      <c r="F29" t="s">
        <v>153</v>
      </c>
      <c r="G29" t="s">
        <v>128</v>
      </c>
      <c r="H29" t="s">
        <v>102</v>
      </c>
      <c r="I29" t="s">
        <v>154</v>
      </c>
      <c r="J29" t="s">
        <v>154</v>
      </c>
      <c r="M29" t="s">
        <v>78</v>
      </c>
      <c r="Q29" t="s">
        <v>155</v>
      </c>
      <c r="T29" t="s">
        <v>79</v>
      </c>
      <c r="U29" t="s">
        <v>79</v>
      </c>
      <c r="X29" t="s">
        <v>78</v>
      </c>
    </row>
    <row r="30" spans="5:24">
      <c r="E30" t="s">
        <v>156</v>
      </c>
      <c r="F30" t="s">
        <v>157</v>
      </c>
      <c r="G30" t="s">
        <v>101</v>
      </c>
      <c r="H30" t="s">
        <v>158</v>
      </c>
      <c r="I30" t="s">
        <v>159</v>
      </c>
      <c r="J30" t="s">
        <v>160</v>
      </c>
      <c r="M30" t="s">
        <v>78</v>
      </c>
      <c r="P30" t="s">
        <v>161</v>
      </c>
      <c r="T30" t="s">
        <v>79</v>
      </c>
      <c r="U30" t="s">
        <v>79</v>
      </c>
      <c r="X30" t="s">
        <v>78</v>
      </c>
    </row>
    <row r="31" spans="5:24">
      <c r="E31" t="s">
        <v>162</v>
      </c>
      <c r="F31" t="s">
        <v>163</v>
      </c>
      <c r="G31" t="s">
        <v>76</v>
      </c>
      <c r="I31" t="s">
        <v>164</v>
      </c>
      <c r="J31" t="s">
        <v>164</v>
      </c>
      <c r="M31" t="s">
        <v>78</v>
      </c>
      <c r="T31" t="s">
        <v>79</v>
      </c>
      <c r="U31" t="s">
        <v>79</v>
      </c>
      <c r="X31" t="s">
        <v>78</v>
      </c>
    </row>
    <row r="32" spans="5:24">
      <c r="E32" t="s">
        <v>165</v>
      </c>
      <c r="F32" t="s">
        <v>166</v>
      </c>
      <c r="G32" t="s">
        <v>101</v>
      </c>
      <c r="H32" t="s">
        <v>102</v>
      </c>
      <c r="I32" t="s">
        <v>167</v>
      </c>
      <c r="J32" t="s">
        <v>167</v>
      </c>
      <c r="K32" t="s">
        <v>168</v>
      </c>
      <c r="L32" t="s">
        <v>168</v>
      </c>
      <c r="M32" t="s">
        <v>78</v>
      </c>
      <c r="P32" t="s">
        <v>169</v>
      </c>
      <c r="T32" t="s">
        <v>79</v>
      </c>
      <c r="U32" t="s">
        <v>79</v>
      </c>
      <c r="W32" t="s">
        <v>170</v>
      </c>
      <c r="X32" t="s">
        <v>78</v>
      </c>
    </row>
    <row r="33" spans="1:24">
      <c r="E33" t="s">
        <v>171</v>
      </c>
      <c r="F33" t="s">
        <v>172</v>
      </c>
      <c r="G33" t="s">
        <v>101</v>
      </c>
      <c r="H33" t="s">
        <v>102</v>
      </c>
      <c r="I33" t="s">
        <v>173</v>
      </c>
      <c r="J33" t="s">
        <v>173</v>
      </c>
      <c r="K33" t="s">
        <v>174</v>
      </c>
      <c r="L33" t="s">
        <v>174</v>
      </c>
      <c r="M33" t="s">
        <v>78</v>
      </c>
      <c r="P33" t="s">
        <v>175</v>
      </c>
      <c r="T33" t="s">
        <v>79</v>
      </c>
      <c r="U33" t="s">
        <v>79</v>
      </c>
      <c r="X33" t="s">
        <v>78</v>
      </c>
    </row>
    <row r="34" spans="1:24">
      <c r="E34" t="s">
        <v>176</v>
      </c>
      <c r="F34" t="s">
        <v>177</v>
      </c>
      <c r="G34" t="s">
        <v>76</v>
      </c>
      <c r="I34" t="s">
        <v>178</v>
      </c>
      <c r="J34" t="s">
        <v>178</v>
      </c>
      <c r="K34" t="s">
        <v>179</v>
      </c>
      <c r="L34" t="s">
        <v>180</v>
      </c>
      <c r="M34" t="s">
        <v>78</v>
      </c>
      <c r="T34" t="s">
        <v>79</v>
      </c>
      <c r="U34" t="s">
        <v>79</v>
      </c>
      <c r="X34" t="s">
        <v>78</v>
      </c>
    </row>
    <row r="35" spans="1:24">
      <c r="E35" t="s">
        <v>181</v>
      </c>
      <c r="F35" t="s">
        <v>182</v>
      </c>
      <c r="G35" t="s">
        <v>76</v>
      </c>
      <c r="I35" t="s">
        <v>183</v>
      </c>
      <c r="J35" t="s">
        <v>183</v>
      </c>
      <c r="K35" t="s">
        <v>179</v>
      </c>
      <c r="M35" t="s">
        <v>78</v>
      </c>
      <c r="N35" t="s">
        <v>177</v>
      </c>
      <c r="O35" t="s">
        <v>78</v>
      </c>
      <c r="T35" t="s">
        <v>79</v>
      </c>
      <c r="U35" t="s">
        <v>79</v>
      </c>
      <c r="X35" t="s">
        <v>78</v>
      </c>
    </row>
    <row r="36" spans="1:24">
      <c r="E36" t="s">
        <v>184</v>
      </c>
      <c r="F36" t="s">
        <v>185</v>
      </c>
      <c r="G36" t="s">
        <v>76</v>
      </c>
      <c r="I36" t="s">
        <v>186</v>
      </c>
      <c r="J36" t="s">
        <v>186</v>
      </c>
      <c r="M36" t="s">
        <v>78</v>
      </c>
      <c r="T36" t="s">
        <v>79</v>
      </c>
      <c r="U36" t="s">
        <v>79</v>
      </c>
      <c r="X36" t="s">
        <v>78</v>
      </c>
    </row>
    <row r="37" spans="1:24">
      <c r="E37" t="s">
        <v>187</v>
      </c>
      <c r="F37" t="s">
        <v>188</v>
      </c>
      <c r="G37" t="s">
        <v>76</v>
      </c>
      <c r="I37" t="s">
        <v>189</v>
      </c>
      <c r="J37" t="s">
        <v>189</v>
      </c>
      <c r="K37" t="s">
        <v>189</v>
      </c>
      <c r="L37" t="s">
        <v>189</v>
      </c>
      <c r="M37" t="s">
        <v>78</v>
      </c>
      <c r="T37" t="s">
        <v>79</v>
      </c>
      <c r="U37" t="s">
        <v>79</v>
      </c>
      <c r="X37" t="s">
        <v>78</v>
      </c>
    </row>
    <row r="38" spans="1:24">
      <c r="E38" t="s">
        <v>190</v>
      </c>
      <c r="F38" t="s">
        <v>191</v>
      </c>
      <c r="G38" t="s">
        <v>76</v>
      </c>
      <c r="I38" t="s">
        <v>192</v>
      </c>
      <c r="J38" t="s">
        <v>192</v>
      </c>
      <c r="M38" t="s">
        <v>78</v>
      </c>
      <c r="T38" t="s">
        <v>79</v>
      </c>
      <c r="U38" t="s">
        <v>79</v>
      </c>
      <c r="X38" t="s">
        <v>78</v>
      </c>
    </row>
    <row r="39" spans="1:24">
      <c r="E39" t="s">
        <v>193</v>
      </c>
      <c r="F39" t="s">
        <v>194</v>
      </c>
      <c r="G39" t="s">
        <v>76</v>
      </c>
      <c r="I39" t="s">
        <v>195</v>
      </c>
      <c r="J39" t="s">
        <v>195</v>
      </c>
      <c r="M39" t="s">
        <v>78</v>
      </c>
      <c r="T39" t="s">
        <v>79</v>
      </c>
      <c r="U39" t="s">
        <v>79</v>
      </c>
      <c r="X39" t="s">
        <v>78</v>
      </c>
    </row>
    <row r="41" spans="1:24">
      <c r="A41" t="s">
        <v>50</v>
      </c>
      <c r="B41" t="s">
        <v>51</v>
      </c>
      <c r="C41" t="s">
        <v>196</v>
      </c>
      <c r="D41" s="38" t="s">
        <v>197</v>
      </c>
      <c r="E41" s="39" t="s">
        <v>198</v>
      </c>
      <c r="F41" s="40" t="s">
        <v>199</v>
      </c>
      <c r="G41" t="s">
        <v>200</v>
      </c>
      <c r="H41" s="41" t="s">
        <v>201</v>
      </c>
      <c r="I41" t="s">
        <v>202</v>
      </c>
      <c r="J41" t="s">
        <v>203</v>
      </c>
      <c r="K41" t="s">
        <v>60</v>
      </c>
      <c r="L41" t="s">
        <v>61</v>
      </c>
      <c r="M41" s="42" t="s">
        <v>62</v>
      </c>
      <c r="N41" t="s">
        <v>204</v>
      </c>
      <c r="O41" t="s">
        <v>205</v>
      </c>
      <c r="P41" s="43" t="s">
        <v>206</v>
      </c>
      <c r="Q41" t="s">
        <v>207</v>
      </c>
      <c r="R41" t="s">
        <v>208</v>
      </c>
      <c r="S41" t="s">
        <v>70</v>
      </c>
    </row>
    <row r="42" spans="1:24">
      <c r="E42" t="s">
        <v>209</v>
      </c>
      <c r="F42" t="str">
        <f>值集数据!$E$8</f>
        <v>hpfm_lov-8</v>
      </c>
      <c r="G42" t="s">
        <v>75</v>
      </c>
      <c r="H42" t="s">
        <v>210</v>
      </c>
      <c r="I42" t="s">
        <v>211</v>
      </c>
      <c r="J42" t="s">
        <v>211</v>
      </c>
      <c r="M42" t="s">
        <v>78</v>
      </c>
      <c r="O42" t="s">
        <v>79</v>
      </c>
      <c r="S42" t="s">
        <v>79</v>
      </c>
    </row>
    <row r="43" spans="1:24">
      <c r="E43" t="s">
        <v>209</v>
      </c>
      <c r="F43" t="str">
        <f>值集数据!$E$8</f>
        <v>hpfm_lov-8</v>
      </c>
      <c r="G43" t="s">
        <v>75</v>
      </c>
      <c r="H43" t="s">
        <v>212</v>
      </c>
      <c r="I43" t="s">
        <v>213</v>
      </c>
      <c r="J43" t="s">
        <v>213</v>
      </c>
      <c r="M43" t="s">
        <v>78</v>
      </c>
      <c r="O43" t="s">
        <v>79</v>
      </c>
      <c r="S43" t="s">
        <v>79</v>
      </c>
    </row>
    <row r="44" spans="1:24">
      <c r="E44" t="s">
        <v>209</v>
      </c>
      <c r="F44" t="str">
        <f>值集数据!$E$8</f>
        <v>hpfm_lov-8</v>
      </c>
      <c r="G44" t="s">
        <v>75</v>
      </c>
      <c r="H44" t="s">
        <v>214</v>
      </c>
      <c r="I44" t="s">
        <v>215</v>
      </c>
      <c r="J44" t="s">
        <v>215</v>
      </c>
      <c r="M44" t="s">
        <v>78</v>
      </c>
      <c r="O44" t="s">
        <v>79</v>
      </c>
      <c r="S44" t="s">
        <v>79</v>
      </c>
    </row>
    <row r="45" spans="1:24">
      <c r="E45" t="s">
        <v>209</v>
      </c>
      <c r="F45" t="str">
        <f>值集数据!$E$9</f>
        <v>hpfm_lov-9</v>
      </c>
      <c r="G45" t="s">
        <v>81</v>
      </c>
      <c r="H45" t="s">
        <v>216</v>
      </c>
      <c r="I45" t="s">
        <v>217</v>
      </c>
      <c r="J45" t="s">
        <v>217</v>
      </c>
      <c r="K45" t="s">
        <v>218</v>
      </c>
      <c r="M45" t="s">
        <v>78</v>
      </c>
      <c r="N45" t="s">
        <v>219</v>
      </c>
      <c r="O45" t="s">
        <v>220</v>
      </c>
      <c r="S45" t="s">
        <v>79</v>
      </c>
    </row>
    <row r="46" spans="1:24">
      <c r="E46" t="s">
        <v>209</v>
      </c>
      <c r="F46" t="str">
        <f>值集数据!$E$9</f>
        <v>hpfm_lov-9</v>
      </c>
      <c r="G46" t="s">
        <v>81</v>
      </c>
      <c r="H46" t="s">
        <v>221</v>
      </c>
      <c r="I46" t="s">
        <v>222</v>
      </c>
      <c r="J46" t="s">
        <v>222</v>
      </c>
      <c r="M46" t="s">
        <v>78</v>
      </c>
      <c r="O46" t="s">
        <v>223</v>
      </c>
      <c r="S46" t="s">
        <v>79</v>
      </c>
    </row>
    <row r="47" spans="1:24">
      <c r="E47" t="s">
        <v>209</v>
      </c>
      <c r="F47" t="str">
        <f>值集数据!$E$10</f>
        <v>hpfm_lov-10</v>
      </c>
      <c r="G47" t="s">
        <v>84</v>
      </c>
      <c r="H47" t="s">
        <v>224</v>
      </c>
      <c r="I47" t="s">
        <v>225</v>
      </c>
      <c r="J47" t="s">
        <v>224</v>
      </c>
      <c r="M47" t="s">
        <v>78</v>
      </c>
      <c r="O47" t="s">
        <v>220</v>
      </c>
      <c r="S47" t="s">
        <v>79</v>
      </c>
    </row>
    <row r="48" spans="1:24">
      <c r="E48" t="s">
        <v>209</v>
      </c>
      <c r="F48" t="str">
        <f>值集数据!$E$10</f>
        <v>hpfm_lov-10</v>
      </c>
      <c r="G48" t="s">
        <v>84</v>
      </c>
      <c r="H48" t="s">
        <v>226</v>
      </c>
      <c r="I48" t="s">
        <v>227</v>
      </c>
      <c r="J48" t="s">
        <v>228</v>
      </c>
      <c r="M48" t="s">
        <v>78</v>
      </c>
      <c r="O48" t="s">
        <v>223</v>
      </c>
      <c r="S48" t="s">
        <v>79</v>
      </c>
    </row>
    <row r="49" spans="5:19">
      <c r="E49" t="s">
        <v>209</v>
      </c>
      <c r="F49" t="str">
        <f>值集数据!$E$11</f>
        <v>hpfm_lov-11</v>
      </c>
      <c r="G49" t="s">
        <v>88</v>
      </c>
      <c r="H49" t="s">
        <v>229</v>
      </c>
      <c r="I49" t="s">
        <v>230</v>
      </c>
      <c r="J49" t="s">
        <v>230</v>
      </c>
      <c r="M49" t="s">
        <v>78</v>
      </c>
      <c r="O49" t="s">
        <v>220</v>
      </c>
      <c r="S49" t="s">
        <v>79</v>
      </c>
    </row>
    <row r="50" spans="5:19">
      <c r="E50" t="s">
        <v>209</v>
      </c>
      <c r="F50" t="str">
        <f>值集数据!$E$11</f>
        <v>hpfm_lov-11</v>
      </c>
      <c r="G50" t="s">
        <v>88</v>
      </c>
      <c r="H50" t="s">
        <v>231</v>
      </c>
      <c r="I50" t="s">
        <v>232</v>
      </c>
      <c r="J50" t="s">
        <v>232</v>
      </c>
      <c r="M50" t="s">
        <v>78</v>
      </c>
      <c r="O50" t="s">
        <v>223</v>
      </c>
      <c r="S50" t="s">
        <v>79</v>
      </c>
    </row>
    <row r="51" spans="5:19">
      <c r="E51" t="s">
        <v>209</v>
      </c>
      <c r="F51" t="str">
        <f>值集数据!$E$12</f>
        <v>hpfm_lov-12</v>
      </c>
      <c r="G51" t="s">
        <v>91</v>
      </c>
      <c r="H51" t="s">
        <v>233</v>
      </c>
      <c r="I51" t="s">
        <v>234</v>
      </c>
      <c r="J51" t="s">
        <v>234</v>
      </c>
      <c r="M51" t="s">
        <v>78</v>
      </c>
      <c r="O51" t="s">
        <v>220</v>
      </c>
      <c r="S51" t="s">
        <v>79</v>
      </c>
    </row>
    <row r="52" spans="5:19">
      <c r="E52" t="s">
        <v>209</v>
      </c>
      <c r="F52" t="str">
        <f>值集数据!$E$12</f>
        <v>hpfm_lov-12</v>
      </c>
      <c r="G52" t="s">
        <v>91</v>
      </c>
      <c r="H52" t="s">
        <v>235</v>
      </c>
      <c r="I52" t="s">
        <v>236</v>
      </c>
      <c r="J52" t="s">
        <v>236</v>
      </c>
      <c r="M52" t="s">
        <v>78</v>
      </c>
      <c r="O52" t="s">
        <v>223</v>
      </c>
      <c r="S52" t="s">
        <v>79</v>
      </c>
    </row>
    <row r="53" spans="5:19">
      <c r="E53" t="s">
        <v>209</v>
      </c>
      <c r="F53" t="str">
        <f>值集数据!$E$12</f>
        <v>hpfm_lov-12</v>
      </c>
      <c r="G53" t="s">
        <v>91</v>
      </c>
      <c r="H53" t="s">
        <v>237</v>
      </c>
      <c r="I53" t="s">
        <v>238</v>
      </c>
      <c r="J53" t="s">
        <v>238</v>
      </c>
      <c r="M53" t="s">
        <v>78</v>
      </c>
      <c r="O53" t="s">
        <v>239</v>
      </c>
      <c r="S53" t="s">
        <v>79</v>
      </c>
    </row>
    <row r="54" spans="5:19">
      <c r="E54" t="s">
        <v>209</v>
      </c>
      <c r="F54" t="str">
        <f>值集数据!$E$13</f>
        <v>hpfm_lov-13</v>
      </c>
      <c r="G54" t="s">
        <v>94</v>
      </c>
      <c r="H54" t="s">
        <v>240</v>
      </c>
      <c r="I54" t="s">
        <v>241</v>
      </c>
      <c r="J54" t="s">
        <v>241</v>
      </c>
      <c r="M54" t="s">
        <v>78</v>
      </c>
      <c r="O54" t="s">
        <v>220</v>
      </c>
      <c r="S54" t="s">
        <v>79</v>
      </c>
    </row>
    <row r="55" spans="5:19">
      <c r="E55" t="s">
        <v>209</v>
      </c>
      <c r="F55" t="str">
        <f>值集数据!$E$13</f>
        <v>hpfm_lov-13</v>
      </c>
      <c r="G55" t="s">
        <v>94</v>
      </c>
      <c r="H55" t="s">
        <v>242</v>
      </c>
      <c r="I55" t="s">
        <v>243</v>
      </c>
      <c r="J55" t="s">
        <v>243</v>
      </c>
      <c r="M55" t="s">
        <v>78</v>
      </c>
      <c r="O55" t="s">
        <v>223</v>
      </c>
      <c r="S55" t="s">
        <v>79</v>
      </c>
    </row>
    <row r="56" spans="5:19">
      <c r="E56" t="s">
        <v>209</v>
      </c>
      <c r="F56" t="str">
        <f>值集数据!$E$13</f>
        <v>hpfm_lov-13</v>
      </c>
      <c r="G56" t="s">
        <v>94</v>
      </c>
      <c r="H56" t="s">
        <v>244</v>
      </c>
      <c r="I56" t="s">
        <v>245</v>
      </c>
      <c r="J56" t="s">
        <v>245</v>
      </c>
      <c r="M56" t="s">
        <v>78</v>
      </c>
      <c r="O56" t="s">
        <v>239</v>
      </c>
      <c r="S56" t="s">
        <v>79</v>
      </c>
    </row>
    <row r="57" spans="5:19">
      <c r="E57" t="s">
        <v>209</v>
      </c>
      <c r="F57" t="str">
        <f>值集数据!$E$14</f>
        <v>hpfm_lov-14</v>
      </c>
      <c r="G57" t="s">
        <v>97</v>
      </c>
      <c r="H57" t="s">
        <v>246</v>
      </c>
      <c r="I57" t="s">
        <v>247</v>
      </c>
      <c r="J57" t="s">
        <v>247</v>
      </c>
      <c r="M57" t="s">
        <v>78</v>
      </c>
      <c r="O57" t="s">
        <v>220</v>
      </c>
      <c r="P57" t="s">
        <v>240</v>
      </c>
      <c r="S57" t="s">
        <v>79</v>
      </c>
    </row>
    <row r="58" spans="5:19">
      <c r="E58" t="s">
        <v>209</v>
      </c>
      <c r="F58" t="str">
        <f>值集数据!$E$14</f>
        <v>hpfm_lov-14</v>
      </c>
      <c r="G58" t="s">
        <v>97</v>
      </c>
      <c r="H58" t="s">
        <v>248</v>
      </c>
      <c r="I58" t="s">
        <v>249</v>
      </c>
      <c r="J58" t="s">
        <v>249</v>
      </c>
      <c r="M58" t="s">
        <v>78</v>
      </c>
      <c r="O58" t="s">
        <v>220</v>
      </c>
      <c r="P58" t="s">
        <v>242</v>
      </c>
      <c r="S58" t="s">
        <v>79</v>
      </c>
    </row>
    <row r="59" spans="5:19">
      <c r="E59" t="s">
        <v>209</v>
      </c>
      <c r="F59" t="str">
        <f>值集数据!$E$14</f>
        <v>hpfm_lov-14</v>
      </c>
      <c r="G59" t="s">
        <v>97</v>
      </c>
      <c r="H59" t="s">
        <v>250</v>
      </c>
      <c r="I59" t="s">
        <v>251</v>
      </c>
      <c r="J59" t="s">
        <v>251</v>
      </c>
      <c r="M59" t="s">
        <v>78</v>
      </c>
      <c r="O59" t="s">
        <v>220</v>
      </c>
      <c r="P59" t="s">
        <v>244</v>
      </c>
      <c r="S59" t="s">
        <v>79</v>
      </c>
    </row>
    <row r="60" spans="5:19">
      <c r="E60" t="s">
        <v>209</v>
      </c>
      <c r="F60" t="str">
        <f>值集数据!$E$14</f>
        <v>hpfm_lov-14</v>
      </c>
      <c r="G60" t="s">
        <v>97</v>
      </c>
      <c r="H60" t="s">
        <v>252</v>
      </c>
      <c r="I60" t="s">
        <v>253</v>
      </c>
      <c r="J60" t="s">
        <v>253</v>
      </c>
      <c r="M60" t="s">
        <v>78</v>
      </c>
      <c r="O60" t="s">
        <v>223</v>
      </c>
      <c r="P60" t="s">
        <v>244</v>
      </c>
      <c r="S60" t="s">
        <v>79</v>
      </c>
    </row>
    <row r="61" spans="5:19">
      <c r="E61" t="s">
        <v>209</v>
      </c>
      <c r="F61" t="str">
        <f>值集数据!$E$14</f>
        <v>hpfm_lov-14</v>
      </c>
      <c r="G61" t="s">
        <v>97</v>
      </c>
      <c r="H61" t="s">
        <v>254</v>
      </c>
      <c r="I61" t="s">
        <v>255</v>
      </c>
      <c r="J61" t="s">
        <v>255</v>
      </c>
      <c r="M61" t="s">
        <v>78</v>
      </c>
      <c r="O61" t="s">
        <v>223</v>
      </c>
      <c r="P61" t="s">
        <v>240</v>
      </c>
      <c r="S61" t="s">
        <v>79</v>
      </c>
    </row>
    <row r="62" spans="5:19">
      <c r="E62" t="s">
        <v>209</v>
      </c>
      <c r="F62" t="str">
        <f>值集数据!$E$16</f>
        <v>hpfm_lov-16</v>
      </c>
      <c r="G62" t="s">
        <v>106</v>
      </c>
      <c r="H62" t="s">
        <v>256</v>
      </c>
      <c r="I62" t="s">
        <v>257</v>
      </c>
      <c r="J62" t="s">
        <v>258</v>
      </c>
      <c r="M62" t="s">
        <v>78</v>
      </c>
      <c r="O62" t="s">
        <v>220</v>
      </c>
      <c r="S62" t="s">
        <v>79</v>
      </c>
    </row>
    <row r="63" spans="5:19">
      <c r="E63" t="s">
        <v>209</v>
      </c>
      <c r="F63" t="str">
        <f>值集数据!$E$16</f>
        <v>hpfm_lov-16</v>
      </c>
      <c r="G63" t="s">
        <v>106</v>
      </c>
      <c r="H63" t="s">
        <v>259</v>
      </c>
      <c r="I63" t="s">
        <v>260</v>
      </c>
      <c r="J63" t="s">
        <v>259</v>
      </c>
      <c r="M63" t="s">
        <v>78</v>
      </c>
      <c r="O63" t="s">
        <v>223</v>
      </c>
      <c r="S63" t="s">
        <v>79</v>
      </c>
    </row>
    <row r="64" spans="5:19">
      <c r="E64" t="s">
        <v>209</v>
      </c>
      <c r="F64" t="str">
        <f>值集数据!$E$16</f>
        <v>hpfm_lov-16</v>
      </c>
      <c r="G64" t="s">
        <v>106</v>
      </c>
      <c r="H64" t="s">
        <v>261</v>
      </c>
      <c r="I64" t="s">
        <v>262</v>
      </c>
      <c r="J64" t="s">
        <v>263</v>
      </c>
      <c r="M64" t="s">
        <v>78</v>
      </c>
      <c r="O64" t="s">
        <v>239</v>
      </c>
      <c r="S64" t="s">
        <v>79</v>
      </c>
    </row>
    <row r="65" spans="5:19">
      <c r="E65" t="s">
        <v>209</v>
      </c>
      <c r="F65" t="str">
        <f>值集数据!$E$16</f>
        <v>hpfm_lov-16</v>
      </c>
      <c r="G65" t="s">
        <v>106</v>
      </c>
      <c r="H65" t="s">
        <v>264</v>
      </c>
      <c r="I65" t="s">
        <v>265</v>
      </c>
      <c r="J65" t="s">
        <v>266</v>
      </c>
      <c r="M65" t="s">
        <v>78</v>
      </c>
      <c r="O65" t="s">
        <v>267</v>
      </c>
      <c r="S65" t="s">
        <v>79</v>
      </c>
    </row>
    <row r="66" spans="5:19">
      <c r="E66" t="s">
        <v>209</v>
      </c>
      <c r="F66" t="str">
        <f>值集数据!$E$16</f>
        <v>hpfm_lov-16</v>
      </c>
      <c r="G66" t="s">
        <v>106</v>
      </c>
      <c r="H66" t="s">
        <v>268</v>
      </c>
      <c r="I66" t="s">
        <v>269</v>
      </c>
      <c r="J66" t="s">
        <v>270</v>
      </c>
      <c r="M66" t="s">
        <v>78</v>
      </c>
      <c r="O66" t="s">
        <v>271</v>
      </c>
      <c r="S66" t="s">
        <v>79</v>
      </c>
    </row>
    <row r="67" spans="5:19">
      <c r="E67" t="s">
        <v>209</v>
      </c>
      <c r="F67" t="str">
        <f>值集数据!$E$16</f>
        <v>hpfm_lov-16</v>
      </c>
      <c r="G67" t="s">
        <v>106</v>
      </c>
      <c r="H67" t="s">
        <v>272</v>
      </c>
      <c r="I67" t="s">
        <v>225</v>
      </c>
      <c r="J67" t="s">
        <v>225</v>
      </c>
      <c r="M67" t="s">
        <v>78</v>
      </c>
      <c r="O67" t="s">
        <v>273</v>
      </c>
      <c r="S67" t="s">
        <v>79</v>
      </c>
    </row>
    <row r="68" spans="5:19">
      <c r="E68" t="s">
        <v>209</v>
      </c>
      <c r="F68" t="str">
        <f>值集数据!$E$16</f>
        <v>hpfm_lov-16</v>
      </c>
      <c r="G68" t="s">
        <v>106</v>
      </c>
      <c r="H68" t="s">
        <v>274</v>
      </c>
      <c r="I68" t="s">
        <v>275</v>
      </c>
      <c r="J68" t="s">
        <v>275</v>
      </c>
      <c r="M68" t="s">
        <v>78</v>
      </c>
      <c r="O68" t="s">
        <v>276</v>
      </c>
      <c r="S68" t="s">
        <v>79</v>
      </c>
    </row>
    <row r="69" spans="5:19">
      <c r="E69" t="s">
        <v>209</v>
      </c>
      <c r="F69" t="str">
        <f>值集数据!$E$16</f>
        <v>hpfm_lov-16</v>
      </c>
      <c r="G69" t="s">
        <v>106</v>
      </c>
      <c r="H69" t="s">
        <v>277</v>
      </c>
      <c r="I69" t="s">
        <v>278</v>
      </c>
      <c r="J69" t="s">
        <v>278</v>
      </c>
      <c r="M69" t="s">
        <v>78</v>
      </c>
      <c r="O69" t="s">
        <v>279</v>
      </c>
      <c r="S69" t="s">
        <v>79</v>
      </c>
    </row>
    <row r="70" spans="5:19">
      <c r="E70" t="s">
        <v>209</v>
      </c>
      <c r="F70" t="str">
        <f>值集数据!$E$18</f>
        <v>hpfm_lov-18</v>
      </c>
      <c r="G70" t="s">
        <v>113</v>
      </c>
      <c r="H70" t="s">
        <v>280</v>
      </c>
      <c r="I70" t="s">
        <v>281</v>
      </c>
      <c r="J70" t="s">
        <v>281</v>
      </c>
      <c r="K70" t="s">
        <v>281</v>
      </c>
      <c r="L70" t="s">
        <v>281</v>
      </c>
      <c r="M70" t="s">
        <v>78</v>
      </c>
      <c r="O70" t="s">
        <v>79</v>
      </c>
      <c r="S70" t="s">
        <v>79</v>
      </c>
    </row>
    <row r="71" spans="5:19">
      <c r="E71" t="s">
        <v>209</v>
      </c>
      <c r="F71" t="str">
        <f>值集数据!$E$18</f>
        <v>hpfm_lov-18</v>
      </c>
      <c r="G71" t="s">
        <v>113</v>
      </c>
      <c r="H71" t="s">
        <v>282</v>
      </c>
      <c r="I71" t="s">
        <v>283</v>
      </c>
      <c r="J71" t="s">
        <v>283</v>
      </c>
      <c r="K71" t="s">
        <v>283</v>
      </c>
      <c r="L71" t="s">
        <v>283</v>
      </c>
      <c r="M71" t="s">
        <v>78</v>
      </c>
      <c r="O71" t="s">
        <v>284</v>
      </c>
      <c r="S71" t="s">
        <v>79</v>
      </c>
    </row>
    <row r="72" spans="5:19">
      <c r="E72" t="s">
        <v>209</v>
      </c>
      <c r="F72" t="str">
        <f>值集数据!$E$18</f>
        <v>hpfm_lov-18</v>
      </c>
      <c r="G72" t="s">
        <v>113</v>
      </c>
      <c r="H72" t="s">
        <v>285</v>
      </c>
      <c r="I72" t="s">
        <v>286</v>
      </c>
      <c r="J72" t="s">
        <v>286</v>
      </c>
      <c r="K72" t="s">
        <v>286</v>
      </c>
      <c r="L72" t="s">
        <v>286</v>
      </c>
      <c r="M72" t="s">
        <v>78</v>
      </c>
      <c r="O72" t="s">
        <v>287</v>
      </c>
      <c r="S72" t="s">
        <v>79</v>
      </c>
    </row>
    <row r="73" spans="5:19">
      <c r="E73" t="s">
        <v>209</v>
      </c>
      <c r="F73" t="str">
        <f>值集数据!$E$18</f>
        <v>hpfm_lov-18</v>
      </c>
      <c r="G73" t="s">
        <v>113</v>
      </c>
      <c r="H73" t="s">
        <v>288</v>
      </c>
      <c r="I73" t="s">
        <v>289</v>
      </c>
      <c r="J73" t="s">
        <v>289</v>
      </c>
      <c r="K73" t="s">
        <v>289</v>
      </c>
      <c r="L73" t="s">
        <v>289</v>
      </c>
      <c r="M73" t="s">
        <v>78</v>
      </c>
      <c r="O73" t="s">
        <v>290</v>
      </c>
      <c r="S73" t="s">
        <v>79</v>
      </c>
    </row>
    <row r="74" spans="5:19">
      <c r="E74" t="s">
        <v>209</v>
      </c>
      <c r="F74" t="str">
        <f>值集数据!$E$19</f>
        <v>hpfm_lov-19</v>
      </c>
      <c r="G74" t="s">
        <v>116</v>
      </c>
      <c r="H74" t="s">
        <v>280</v>
      </c>
      <c r="I74" t="s">
        <v>281</v>
      </c>
      <c r="J74" t="s">
        <v>281</v>
      </c>
      <c r="K74" t="s">
        <v>281</v>
      </c>
      <c r="L74" t="s">
        <v>281</v>
      </c>
      <c r="M74" t="s">
        <v>78</v>
      </c>
      <c r="O74" t="s">
        <v>79</v>
      </c>
      <c r="P74" t="s">
        <v>280</v>
      </c>
      <c r="S74" t="s">
        <v>79</v>
      </c>
    </row>
    <row r="75" spans="5:19">
      <c r="E75" t="s">
        <v>209</v>
      </c>
      <c r="F75" t="str">
        <f>值集数据!$E$19</f>
        <v>hpfm_lov-19</v>
      </c>
      <c r="G75" t="s">
        <v>116</v>
      </c>
      <c r="H75" t="s">
        <v>291</v>
      </c>
      <c r="I75" t="s">
        <v>292</v>
      </c>
      <c r="J75" t="s">
        <v>292</v>
      </c>
      <c r="K75" t="s">
        <v>292</v>
      </c>
      <c r="L75" t="s">
        <v>292</v>
      </c>
      <c r="M75" t="s">
        <v>78</v>
      </c>
      <c r="O75" t="s">
        <v>284</v>
      </c>
      <c r="P75" t="s">
        <v>282</v>
      </c>
      <c r="S75" t="s">
        <v>79</v>
      </c>
    </row>
    <row r="76" spans="5:19">
      <c r="E76" t="s">
        <v>209</v>
      </c>
      <c r="F76" t="str">
        <f>值集数据!$E$19</f>
        <v>hpfm_lov-19</v>
      </c>
      <c r="G76" t="s">
        <v>116</v>
      </c>
      <c r="H76" t="s">
        <v>285</v>
      </c>
      <c r="I76" t="s">
        <v>286</v>
      </c>
      <c r="J76" t="s">
        <v>286</v>
      </c>
      <c r="K76" t="s">
        <v>286</v>
      </c>
      <c r="L76" t="s">
        <v>286</v>
      </c>
      <c r="M76" t="s">
        <v>78</v>
      </c>
      <c r="O76" t="s">
        <v>293</v>
      </c>
      <c r="P76" t="s">
        <v>285</v>
      </c>
      <c r="S76" t="s">
        <v>79</v>
      </c>
    </row>
    <row r="77" spans="5:19">
      <c r="E77" t="s">
        <v>209</v>
      </c>
      <c r="F77" t="str">
        <f>值集数据!$E$19</f>
        <v>hpfm_lov-19</v>
      </c>
      <c r="G77" t="s">
        <v>116</v>
      </c>
      <c r="H77" t="s">
        <v>294</v>
      </c>
      <c r="I77" t="s">
        <v>295</v>
      </c>
      <c r="J77" t="s">
        <v>295</v>
      </c>
      <c r="K77" t="s">
        <v>295</v>
      </c>
      <c r="L77" t="s">
        <v>295</v>
      </c>
      <c r="M77" t="s">
        <v>78</v>
      </c>
      <c r="O77" t="s">
        <v>296</v>
      </c>
      <c r="P77" t="s">
        <v>288</v>
      </c>
      <c r="S77" t="s">
        <v>79</v>
      </c>
    </row>
    <row r="78" spans="5:19">
      <c r="E78" t="s">
        <v>209</v>
      </c>
      <c r="F78" t="str">
        <f>值集数据!$E$19</f>
        <v>hpfm_lov-19</v>
      </c>
      <c r="G78" t="s">
        <v>116</v>
      </c>
      <c r="H78" t="s">
        <v>288</v>
      </c>
      <c r="I78" t="s">
        <v>289</v>
      </c>
      <c r="J78" t="s">
        <v>289</v>
      </c>
      <c r="K78" t="s">
        <v>289</v>
      </c>
      <c r="L78" t="s">
        <v>289</v>
      </c>
      <c r="M78" t="s">
        <v>78</v>
      </c>
      <c r="O78" t="s">
        <v>297</v>
      </c>
      <c r="P78" t="s">
        <v>288</v>
      </c>
      <c r="S78" t="s">
        <v>79</v>
      </c>
    </row>
    <row r="79" spans="5:19">
      <c r="E79" t="s">
        <v>209</v>
      </c>
      <c r="F79" t="str">
        <f>值集数据!$E$19</f>
        <v>hpfm_lov-19</v>
      </c>
      <c r="G79" t="s">
        <v>116</v>
      </c>
      <c r="H79" t="s">
        <v>298</v>
      </c>
      <c r="I79" t="s">
        <v>299</v>
      </c>
      <c r="J79" t="s">
        <v>299</v>
      </c>
      <c r="K79" t="s">
        <v>299</v>
      </c>
      <c r="L79" t="s">
        <v>299</v>
      </c>
      <c r="M79" t="s">
        <v>78</v>
      </c>
      <c r="O79" t="s">
        <v>300</v>
      </c>
      <c r="P79" t="s">
        <v>288</v>
      </c>
      <c r="S79" t="s">
        <v>79</v>
      </c>
    </row>
    <row r="80" spans="5:19">
      <c r="E80" t="s">
        <v>209</v>
      </c>
      <c r="F80" t="str">
        <f>值集数据!$E$20</f>
        <v>hpfm_lov-20</v>
      </c>
      <c r="G80" t="s">
        <v>119</v>
      </c>
      <c r="H80" t="s">
        <v>301</v>
      </c>
      <c r="I80" t="s">
        <v>302</v>
      </c>
      <c r="J80" t="s">
        <v>302</v>
      </c>
      <c r="M80" t="s">
        <v>78</v>
      </c>
      <c r="O80" t="s">
        <v>239</v>
      </c>
      <c r="S80" t="s">
        <v>79</v>
      </c>
    </row>
    <row r="81" spans="5:19">
      <c r="E81" t="s">
        <v>209</v>
      </c>
      <c r="F81" t="str">
        <f>值集数据!$E$20</f>
        <v>hpfm_lov-20</v>
      </c>
      <c r="G81" t="s">
        <v>119</v>
      </c>
      <c r="H81" t="s">
        <v>303</v>
      </c>
      <c r="I81" t="s">
        <v>304</v>
      </c>
      <c r="J81" t="s">
        <v>305</v>
      </c>
      <c r="M81" t="s">
        <v>78</v>
      </c>
      <c r="O81" t="s">
        <v>267</v>
      </c>
      <c r="S81" t="s">
        <v>79</v>
      </c>
    </row>
    <row r="82" spans="5:19">
      <c r="E82" t="s">
        <v>209</v>
      </c>
      <c r="F82" t="str">
        <f>值集数据!$E$20</f>
        <v>hpfm_lov-20</v>
      </c>
      <c r="G82" t="s">
        <v>119</v>
      </c>
      <c r="H82" t="s">
        <v>306</v>
      </c>
      <c r="I82" t="s">
        <v>307</v>
      </c>
      <c r="J82" t="s">
        <v>307</v>
      </c>
      <c r="M82" t="s">
        <v>78</v>
      </c>
      <c r="O82" t="s">
        <v>279</v>
      </c>
      <c r="S82" t="s">
        <v>79</v>
      </c>
    </row>
    <row r="83" spans="5:19">
      <c r="E83" t="s">
        <v>209</v>
      </c>
      <c r="F83" t="str">
        <f>值集数据!$E$20</f>
        <v>hpfm_lov-20</v>
      </c>
      <c r="G83" t="s">
        <v>119</v>
      </c>
      <c r="H83" t="s">
        <v>308</v>
      </c>
      <c r="I83" t="s">
        <v>309</v>
      </c>
      <c r="J83" t="s">
        <v>309</v>
      </c>
      <c r="M83" t="s">
        <v>78</v>
      </c>
      <c r="O83" t="s">
        <v>273</v>
      </c>
      <c r="S83" t="s">
        <v>79</v>
      </c>
    </row>
    <row r="84" spans="5:19">
      <c r="E84" t="s">
        <v>209</v>
      </c>
      <c r="F84" t="str">
        <f>值集数据!$E$20</f>
        <v>hpfm_lov-20</v>
      </c>
      <c r="G84" t="s">
        <v>119</v>
      </c>
      <c r="H84" t="s">
        <v>310</v>
      </c>
      <c r="I84" t="s">
        <v>311</v>
      </c>
      <c r="J84" t="s">
        <v>311</v>
      </c>
      <c r="M84" t="s">
        <v>78</v>
      </c>
      <c r="O84" t="s">
        <v>220</v>
      </c>
      <c r="S84" t="s">
        <v>79</v>
      </c>
    </row>
    <row r="85" spans="5:19">
      <c r="E85" t="s">
        <v>209</v>
      </c>
      <c r="F85" t="str">
        <f>值集数据!$E$20</f>
        <v>hpfm_lov-20</v>
      </c>
      <c r="G85" t="s">
        <v>119</v>
      </c>
      <c r="H85" t="s">
        <v>312</v>
      </c>
      <c r="I85" t="s">
        <v>313</v>
      </c>
      <c r="J85" t="s">
        <v>313</v>
      </c>
      <c r="M85" t="s">
        <v>78</v>
      </c>
      <c r="O85" t="s">
        <v>314</v>
      </c>
      <c r="S85" t="s">
        <v>79</v>
      </c>
    </row>
    <row r="86" spans="5:19">
      <c r="E86" t="s">
        <v>209</v>
      </c>
      <c r="F86" t="str">
        <f>值集数据!$E$21</f>
        <v>hpfm_lov-21</v>
      </c>
      <c r="G86" t="s">
        <v>111</v>
      </c>
      <c r="H86" t="s">
        <v>315</v>
      </c>
      <c r="I86" t="s">
        <v>316</v>
      </c>
      <c r="J86" t="s">
        <v>317</v>
      </c>
      <c r="M86" t="s">
        <v>78</v>
      </c>
      <c r="O86" t="s">
        <v>220</v>
      </c>
      <c r="S86" t="s">
        <v>79</v>
      </c>
    </row>
    <row r="87" spans="5:19">
      <c r="E87" t="s">
        <v>209</v>
      </c>
      <c r="F87" t="str">
        <f>值集数据!$E$21</f>
        <v>hpfm_lov-21</v>
      </c>
      <c r="G87" t="s">
        <v>111</v>
      </c>
      <c r="H87" t="s">
        <v>318</v>
      </c>
      <c r="I87" t="s">
        <v>319</v>
      </c>
      <c r="J87" t="s">
        <v>320</v>
      </c>
      <c r="M87" t="s">
        <v>78</v>
      </c>
      <c r="O87" t="s">
        <v>223</v>
      </c>
      <c r="S87" t="s">
        <v>79</v>
      </c>
    </row>
    <row r="88" spans="5:19">
      <c r="E88" t="s">
        <v>209</v>
      </c>
      <c r="F88" t="str">
        <f>值集数据!$E$22</f>
        <v>hpfm_lov-22</v>
      </c>
      <c r="G88" t="s">
        <v>124</v>
      </c>
      <c r="H88" t="s">
        <v>321</v>
      </c>
      <c r="I88" t="s">
        <v>322</v>
      </c>
      <c r="J88" t="s">
        <v>323</v>
      </c>
      <c r="K88" t="s">
        <v>322</v>
      </c>
      <c r="L88" t="s">
        <v>323</v>
      </c>
      <c r="M88" t="s">
        <v>78</v>
      </c>
      <c r="O88" t="s">
        <v>79</v>
      </c>
      <c r="S88" t="s">
        <v>79</v>
      </c>
    </row>
    <row r="89" spans="5:19">
      <c r="E89" t="s">
        <v>209</v>
      </c>
      <c r="F89" t="str">
        <f>值集数据!$E$22</f>
        <v>hpfm_lov-22</v>
      </c>
      <c r="G89" t="s">
        <v>124</v>
      </c>
      <c r="H89" t="s">
        <v>324</v>
      </c>
      <c r="I89" t="s">
        <v>325</v>
      </c>
      <c r="J89" t="s">
        <v>325</v>
      </c>
      <c r="K89" t="s">
        <v>325</v>
      </c>
      <c r="L89" t="s">
        <v>325</v>
      </c>
      <c r="M89" t="s">
        <v>78</v>
      </c>
      <c r="O89" t="s">
        <v>284</v>
      </c>
      <c r="S89" t="s">
        <v>79</v>
      </c>
    </row>
    <row r="90" spans="5:19">
      <c r="E90" t="s">
        <v>209</v>
      </c>
      <c r="F90" t="str">
        <f>值集数据!$E$22</f>
        <v>hpfm_lov-22</v>
      </c>
      <c r="G90" t="s">
        <v>124</v>
      </c>
      <c r="H90" t="s">
        <v>326</v>
      </c>
      <c r="I90" t="s">
        <v>327</v>
      </c>
      <c r="J90" t="s">
        <v>327</v>
      </c>
      <c r="K90" t="s">
        <v>327</v>
      </c>
      <c r="L90" t="s">
        <v>327</v>
      </c>
      <c r="M90" t="s">
        <v>78</v>
      </c>
      <c r="O90" t="s">
        <v>328</v>
      </c>
      <c r="S90" t="s">
        <v>79</v>
      </c>
    </row>
    <row r="91" spans="5:19">
      <c r="E91" t="s">
        <v>209</v>
      </c>
      <c r="F91" t="str">
        <f>值集数据!$E$25</f>
        <v>hpfm_lov-25</v>
      </c>
      <c r="G91" t="s">
        <v>138</v>
      </c>
      <c r="H91" t="s">
        <v>128</v>
      </c>
      <c r="I91" t="s">
        <v>329</v>
      </c>
      <c r="J91" t="s">
        <v>329</v>
      </c>
      <c r="M91" t="s">
        <v>78</v>
      </c>
      <c r="O91" t="s">
        <v>220</v>
      </c>
      <c r="S91" t="s">
        <v>79</v>
      </c>
    </row>
    <row r="92" spans="5:19">
      <c r="E92" t="s">
        <v>209</v>
      </c>
      <c r="F92" t="str">
        <f>值集数据!$E$25</f>
        <v>hpfm_lov-25</v>
      </c>
      <c r="G92" t="s">
        <v>138</v>
      </c>
      <c r="H92" t="s">
        <v>308</v>
      </c>
      <c r="I92" t="s">
        <v>309</v>
      </c>
      <c r="J92" t="s">
        <v>309</v>
      </c>
      <c r="M92" t="s">
        <v>78</v>
      </c>
      <c r="N92" t="s">
        <v>330</v>
      </c>
      <c r="O92" t="s">
        <v>223</v>
      </c>
      <c r="S92" t="s">
        <v>79</v>
      </c>
    </row>
    <row r="93" spans="5:19">
      <c r="E93" t="s">
        <v>209</v>
      </c>
      <c r="F93" t="str">
        <f>值集数据!$E$25</f>
        <v>hpfm_lov-25</v>
      </c>
      <c r="G93" t="s">
        <v>138</v>
      </c>
      <c r="H93" t="s">
        <v>303</v>
      </c>
      <c r="I93" t="s">
        <v>305</v>
      </c>
      <c r="J93" t="s">
        <v>305</v>
      </c>
      <c r="M93" t="s">
        <v>78</v>
      </c>
      <c r="N93" t="s">
        <v>330</v>
      </c>
      <c r="O93" t="s">
        <v>239</v>
      </c>
      <c r="S93" t="s">
        <v>79</v>
      </c>
    </row>
    <row r="94" spans="5:19">
      <c r="E94" t="s">
        <v>209</v>
      </c>
      <c r="F94" t="str">
        <f>值集数据!$E$31</f>
        <v>hpfm_lov-31</v>
      </c>
      <c r="G94" t="s">
        <v>163</v>
      </c>
      <c r="H94" t="s">
        <v>331</v>
      </c>
      <c r="I94" t="s">
        <v>222</v>
      </c>
      <c r="J94" t="s">
        <v>222</v>
      </c>
      <c r="M94" t="s">
        <v>78</v>
      </c>
      <c r="O94" t="s">
        <v>220</v>
      </c>
      <c r="S94" t="s">
        <v>79</v>
      </c>
    </row>
    <row r="95" spans="5:19">
      <c r="E95" t="s">
        <v>209</v>
      </c>
      <c r="F95" t="str">
        <f>值集数据!$E$31</f>
        <v>hpfm_lov-31</v>
      </c>
      <c r="G95" t="s">
        <v>163</v>
      </c>
      <c r="H95" t="s">
        <v>332</v>
      </c>
      <c r="I95" t="s">
        <v>333</v>
      </c>
      <c r="J95" t="s">
        <v>333</v>
      </c>
      <c r="M95" t="s">
        <v>78</v>
      </c>
      <c r="O95" t="s">
        <v>223</v>
      </c>
      <c r="S95" t="s">
        <v>79</v>
      </c>
    </row>
    <row r="96" spans="5:19">
      <c r="E96" t="s">
        <v>209</v>
      </c>
      <c r="F96" t="str">
        <f>值集数据!$E$31</f>
        <v>hpfm_lov-31</v>
      </c>
      <c r="G96" t="s">
        <v>163</v>
      </c>
      <c r="H96" t="s">
        <v>334</v>
      </c>
      <c r="I96" t="s">
        <v>335</v>
      </c>
      <c r="J96" t="s">
        <v>335</v>
      </c>
      <c r="M96" t="s">
        <v>78</v>
      </c>
      <c r="O96" t="s">
        <v>239</v>
      </c>
      <c r="S96" t="s">
        <v>79</v>
      </c>
    </row>
    <row r="97" spans="5:19">
      <c r="E97" t="s">
        <v>209</v>
      </c>
      <c r="F97" t="str">
        <f>值集数据!$E$34</f>
        <v>hpfm_lov-34</v>
      </c>
      <c r="G97" t="s">
        <v>177</v>
      </c>
      <c r="H97" t="s">
        <v>210</v>
      </c>
      <c r="I97" t="s">
        <v>336</v>
      </c>
      <c r="J97" t="s">
        <v>336</v>
      </c>
      <c r="M97" t="s">
        <v>78</v>
      </c>
      <c r="O97" t="s">
        <v>79</v>
      </c>
      <c r="S97" t="s">
        <v>79</v>
      </c>
    </row>
    <row r="98" spans="5:19">
      <c r="E98" t="s">
        <v>209</v>
      </c>
      <c r="F98" t="str">
        <f>值集数据!$E$34</f>
        <v>hpfm_lov-34</v>
      </c>
      <c r="G98" t="s">
        <v>177</v>
      </c>
      <c r="H98" t="s">
        <v>301</v>
      </c>
      <c r="I98" t="s">
        <v>337</v>
      </c>
      <c r="J98" t="s">
        <v>337</v>
      </c>
      <c r="M98" t="s">
        <v>78</v>
      </c>
      <c r="O98" t="s">
        <v>284</v>
      </c>
      <c r="S98" t="s">
        <v>79</v>
      </c>
    </row>
    <row r="99" spans="5:19">
      <c r="E99" t="s">
        <v>209</v>
      </c>
      <c r="F99" t="str">
        <f>值集数据!$E$35</f>
        <v>hpfm_lov-35</v>
      </c>
      <c r="G99" t="s">
        <v>182</v>
      </c>
      <c r="I99" t="s">
        <v>338</v>
      </c>
      <c r="J99" t="s">
        <v>338</v>
      </c>
      <c r="M99" t="s">
        <v>78</v>
      </c>
      <c r="O99" t="s">
        <v>79</v>
      </c>
      <c r="P99" t="s">
        <v>210</v>
      </c>
      <c r="S99" t="s">
        <v>79</v>
      </c>
    </row>
    <row r="100" spans="5:19">
      <c r="E100" t="s">
        <v>209</v>
      </c>
      <c r="F100" t="str">
        <f>值集数据!$E$35</f>
        <v>hpfm_lov-35</v>
      </c>
      <c r="G100" t="s">
        <v>182</v>
      </c>
      <c r="H100" t="s">
        <v>339</v>
      </c>
      <c r="I100" t="s">
        <v>340</v>
      </c>
      <c r="J100" t="s">
        <v>340</v>
      </c>
      <c r="M100" t="s">
        <v>78</v>
      </c>
      <c r="O100" t="s">
        <v>79</v>
      </c>
      <c r="P100" t="s">
        <v>301</v>
      </c>
      <c r="S100" t="s">
        <v>79</v>
      </c>
    </row>
    <row r="101" spans="5:19">
      <c r="E101" t="s">
        <v>209</v>
      </c>
      <c r="F101" t="str">
        <f>值集数据!$E$36</f>
        <v>hpfm_lov-36</v>
      </c>
      <c r="G101" t="s">
        <v>185</v>
      </c>
      <c r="H101" t="s">
        <v>341</v>
      </c>
      <c r="I101" t="s">
        <v>342</v>
      </c>
      <c r="J101" t="s">
        <v>342</v>
      </c>
      <c r="M101" t="s">
        <v>78</v>
      </c>
      <c r="O101" t="s">
        <v>220</v>
      </c>
      <c r="S101" t="s">
        <v>79</v>
      </c>
    </row>
    <row r="102" spans="5:19">
      <c r="E102" t="s">
        <v>209</v>
      </c>
      <c r="F102" t="str">
        <f>值集数据!$E$36</f>
        <v>hpfm_lov-36</v>
      </c>
      <c r="G102" t="s">
        <v>185</v>
      </c>
      <c r="H102" t="s">
        <v>343</v>
      </c>
      <c r="I102" t="s">
        <v>344</v>
      </c>
      <c r="J102" t="s">
        <v>344</v>
      </c>
      <c r="M102" t="s">
        <v>78</v>
      </c>
      <c r="O102" t="s">
        <v>239</v>
      </c>
      <c r="S102" t="s">
        <v>79</v>
      </c>
    </row>
    <row r="103" spans="5:19">
      <c r="E103" t="s">
        <v>209</v>
      </c>
      <c r="F103" t="str">
        <f>值集数据!$E$36</f>
        <v>hpfm_lov-36</v>
      </c>
      <c r="G103" t="s">
        <v>185</v>
      </c>
      <c r="H103" t="s">
        <v>345</v>
      </c>
      <c r="I103" t="s">
        <v>346</v>
      </c>
      <c r="J103" t="s">
        <v>346</v>
      </c>
      <c r="M103" t="s">
        <v>78</v>
      </c>
      <c r="O103" t="s">
        <v>267</v>
      </c>
      <c r="S103" t="s">
        <v>79</v>
      </c>
    </row>
    <row r="104" spans="5:19">
      <c r="E104" t="s">
        <v>209</v>
      </c>
      <c r="F104" t="str">
        <f>值集数据!$E$37</f>
        <v>hpfm_lov-37</v>
      </c>
      <c r="G104" t="s">
        <v>188</v>
      </c>
      <c r="H104" t="s">
        <v>347</v>
      </c>
      <c r="I104" t="s">
        <v>262</v>
      </c>
      <c r="J104" t="s">
        <v>262</v>
      </c>
      <c r="K104" t="s">
        <v>262</v>
      </c>
      <c r="L104" t="s">
        <v>262</v>
      </c>
      <c r="M104" t="s">
        <v>78</v>
      </c>
      <c r="O104" t="s">
        <v>79</v>
      </c>
      <c r="S104" t="s">
        <v>79</v>
      </c>
    </row>
    <row r="105" spans="5:19">
      <c r="E105" t="s">
        <v>209</v>
      </c>
      <c r="F105" t="str">
        <f>值集数据!$E$37</f>
        <v>hpfm_lov-37</v>
      </c>
      <c r="G105" t="s">
        <v>188</v>
      </c>
      <c r="H105" t="s">
        <v>348</v>
      </c>
      <c r="I105" t="s">
        <v>319</v>
      </c>
      <c r="J105" t="s">
        <v>349</v>
      </c>
      <c r="K105" t="s">
        <v>349</v>
      </c>
      <c r="L105" t="s">
        <v>349</v>
      </c>
      <c r="M105" t="s">
        <v>78</v>
      </c>
      <c r="O105" t="s">
        <v>284</v>
      </c>
      <c r="S105" t="s">
        <v>79</v>
      </c>
    </row>
    <row r="106" spans="5:19">
      <c r="E106" t="s">
        <v>209</v>
      </c>
      <c r="F106" t="str">
        <f>值集数据!$E$37</f>
        <v>hpfm_lov-37</v>
      </c>
      <c r="G106" t="s">
        <v>188</v>
      </c>
      <c r="H106" t="s">
        <v>315</v>
      </c>
      <c r="I106" t="s">
        <v>316</v>
      </c>
      <c r="J106" t="s">
        <v>316</v>
      </c>
      <c r="M106" t="s">
        <v>78</v>
      </c>
      <c r="O106" t="s">
        <v>328</v>
      </c>
      <c r="S106" t="s">
        <v>79</v>
      </c>
    </row>
    <row r="107" spans="5:19">
      <c r="E107" t="s">
        <v>209</v>
      </c>
      <c r="F107" t="str">
        <f>值集数据!$E$38</f>
        <v>hpfm_lov-38</v>
      </c>
      <c r="G107" t="s">
        <v>191</v>
      </c>
      <c r="H107" t="s">
        <v>350</v>
      </c>
      <c r="I107" t="s">
        <v>351</v>
      </c>
      <c r="J107" t="s">
        <v>351</v>
      </c>
      <c r="M107" t="s">
        <v>78</v>
      </c>
      <c r="O107" t="s">
        <v>79</v>
      </c>
      <c r="S107" t="s">
        <v>79</v>
      </c>
    </row>
    <row r="108" spans="5:19">
      <c r="E108" t="s">
        <v>209</v>
      </c>
      <c r="F108" t="str">
        <f>值集数据!$E$38</f>
        <v>hpfm_lov-38</v>
      </c>
      <c r="G108" t="s">
        <v>191</v>
      </c>
      <c r="H108" t="s">
        <v>224</v>
      </c>
      <c r="I108" t="s">
        <v>225</v>
      </c>
      <c r="J108" t="s">
        <v>225</v>
      </c>
      <c r="M108" t="s">
        <v>78</v>
      </c>
      <c r="O108" t="s">
        <v>284</v>
      </c>
      <c r="S108" t="s">
        <v>79</v>
      </c>
    </row>
    <row r="109" spans="5:19">
      <c r="E109" t="s">
        <v>209</v>
      </c>
      <c r="F109" t="str">
        <f>值集数据!$E$38</f>
        <v>hpfm_lov-38</v>
      </c>
      <c r="G109" t="s">
        <v>191</v>
      </c>
      <c r="H109" t="s">
        <v>352</v>
      </c>
      <c r="I109" t="s">
        <v>353</v>
      </c>
      <c r="J109" t="s">
        <v>353</v>
      </c>
      <c r="M109" t="s">
        <v>78</v>
      </c>
      <c r="O109" t="s">
        <v>328</v>
      </c>
      <c r="S109" t="s">
        <v>79</v>
      </c>
    </row>
    <row r="110" spans="5:19">
      <c r="E110" t="s">
        <v>209</v>
      </c>
      <c r="F110" t="str">
        <f>值集数据!$E$39</f>
        <v>hpfm_lov-39</v>
      </c>
      <c r="G110" t="s">
        <v>194</v>
      </c>
      <c r="H110" t="s">
        <v>350</v>
      </c>
      <c r="I110" t="s">
        <v>354</v>
      </c>
      <c r="J110" t="s">
        <v>350</v>
      </c>
      <c r="M110" t="s">
        <v>78</v>
      </c>
      <c r="O110" t="s">
        <v>220</v>
      </c>
      <c r="S110" t="s">
        <v>79</v>
      </c>
    </row>
    <row r="111" spans="5:19">
      <c r="E111" t="s">
        <v>209</v>
      </c>
      <c r="F111" t="str">
        <f>值集数据!$E$39</f>
        <v>hpfm_lov-39</v>
      </c>
      <c r="G111" t="s">
        <v>194</v>
      </c>
      <c r="H111" t="s">
        <v>226</v>
      </c>
      <c r="I111" t="s">
        <v>227</v>
      </c>
      <c r="J111" t="s">
        <v>227</v>
      </c>
      <c r="M111" t="s">
        <v>78</v>
      </c>
      <c r="O111" t="s">
        <v>223</v>
      </c>
      <c r="S111" t="s">
        <v>79</v>
      </c>
    </row>
    <row r="113" spans="1:20">
      <c r="A113" t="s">
        <v>50</v>
      </c>
      <c r="B113" t="s">
        <v>51</v>
      </c>
      <c r="C113" t="s">
        <v>355</v>
      </c>
      <c r="D113" s="44" t="s">
        <v>356</v>
      </c>
      <c r="E113" s="45" t="s">
        <v>357</v>
      </c>
      <c r="F113" s="46" t="s">
        <v>358</v>
      </c>
      <c r="G113" t="s">
        <v>359</v>
      </c>
      <c r="H113" t="s">
        <v>360</v>
      </c>
      <c r="I113" s="47" t="s">
        <v>361</v>
      </c>
      <c r="J113" s="48" t="s">
        <v>62</v>
      </c>
      <c r="K113" t="s">
        <v>67</v>
      </c>
      <c r="L113" t="s">
        <v>68</v>
      </c>
      <c r="M113" t="s">
        <v>362</v>
      </c>
      <c r="N113" t="s">
        <v>363</v>
      </c>
      <c r="O113" t="s">
        <v>364</v>
      </c>
      <c r="P113" t="s">
        <v>365</v>
      </c>
      <c r="Q113" t="s">
        <v>366</v>
      </c>
      <c r="R113" t="s">
        <v>367</v>
      </c>
      <c r="S113" t="s">
        <v>368</v>
      </c>
      <c r="T113" t="s">
        <v>70</v>
      </c>
    </row>
    <row r="114" spans="1:20">
      <c r="E114" t="s">
        <v>369</v>
      </c>
      <c r="F114" t="s">
        <v>100</v>
      </c>
      <c r="G114" t="s">
        <v>103</v>
      </c>
      <c r="H114" t="s">
        <v>103</v>
      </c>
      <c r="I114" t="str">
        <f>值集数据!$E$15</f>
        <v>hpfm_lov-15</v>
      </c>
      <c r="J114" t="s">
        <v>78</v>
      </c>
      <c r="K114" t="s">
        <v>104</v>
      </c>
      <c r="L114" t="s">
        <v>370</v>
      </c>
      <c r="M114" t="s">
        <v>371</v>
      </c>
      <c r="N114" t="s">
        <v>371</v>
      </c>
      <c r="Q114" t="s">
        <v>220</v>
      </c>
      <c r="R114" t="s">
        <v>78</v>
      </c>
      <c r="T114" t="s">
        <v>79</v>
      </c>
    </row>
    <row r="115" spans="1:20">
      <c r="E115" t="s">
        <v>372</v>
      </c>
      <c r="F115" t="s">
        <v>127</v>
      </c>
      <c r="G115" t="s">
        <v>373</v>
      </c>
      <c r="H115" t="s">
        <v>373</v>
      </c>
      <c r="I115" t="str">
        <f>值集数据!$E$23</f>
        <v>hpfm_lov-23</v>
      </c>
      <c r="J115" t="s">
        <v>78</v>
      </c>
      <c r="K115" t="s">
        <v>374</v>
      </c>
      <c r="L115" t="s">
        <v>375</v>
      </c>
      <c r="M115" t="s">
        <v>376</v>
      </c>
      <c r="N115" t="s">
        <v>376</v>
      </c>
      <c r="Q115" t="s">
        <v>220</v>
      </c>
      <c r="R115" t="s">
        <v>78</v>
      </c>
      <c r="T115" t="s">
        <v>79</v>
      </c>
    </row>
    <row r="116" spans="1:20">
      <c r="E116" t="s">
        <v>377</v>
      </c>
      <c r="F116" t="s">
        <v>132</v>
      </c>
      <c r="G116" t="s">
        <v>134</v>
      </c>
      <c r="H116" t="s">
        <v>134</v>
      </c>
      <c r="I116" t="str">
        <f>值集数据!$E$24</f>
        <v>hpfm_lov-24</v>
      </c>
      <c r="J116" t="s">
        <v>78</v>
      </c>
      <c r="K116" t="s">
        <v>136</v>
      </c>
      <c r="L116" t="s">
        <v>378</v>
      </c>
      <c r="M116" t="s">
        <v>379</v>
      </c>
      <c r="N116" t="s">
        <v>379</v>
      </c>
      <c r="Q116" t="s">
        <v>220</v>
      </c>
      <c r="R116" t="s">
        <v>78</v>
      </c>
      <c r="T116" t="s">
        <v>79</v>
      </c>
    </row>
    <row r="117" spans="1:20">
      <c r="E117" t="s">
        <v>380</v>
      </c>
      <c r="F117" t="s">
        <v>145</v>
      </c>
      <c r="G117" t="s">
        <v>381</v>
      </c>
      <c r="H117" t="s">
        <v>381</v>
      </c>
      <c r="I117" t="str">
        <f>值集数据!$E$27</f>
        <v>hpfm_lov-27</v>
      </c>
      <c r="J117" t="s">
        <v>78</v>
      </c>
      <c r="K117" t="s">
        <v>382</v>
      </c>
      <c r="L117" t="s">
        <v>382</v>
      </c>
      <c r="M117" t="s">
        <v>383</v>
      </c>
      <c r="N117" t="s">
        <v>383</v>
      </c>
      <c r="Q117" t="s">
        <v>220</v>
      </c>
      <c r="R117" t="s">
        <v>78</v>
      </c>
      <c r="T117" t="s">
        <v>79</v>
      </c>
    </row>
    <row r="118" spans="1:20">
      <c r="E118" t="s">
        <v>384</v>
      </c>
      <c r="F118" t="s">
        <v>149</v>
      </c>
      <c r="G118" t="s">
        <v>150</v>
      </c>
      <c r="H118" t="s">
        <v>150</v>
      </c>
      <c r="I118" t="str">
        <f>值集数据!$E$28</f>
        <v>hpfm_lov-28</v>
      </c>
      <c r="J118" t="s">
        <v>78</v>
      </c>
      <c r="K118" t="s">
        <v>382</v>
      </c>
      <c r="L118" t="s">
        <v>385</v>
      </c>
      <c r="M118" t="s">
        <v>150</v>
      </c>
      <c r="Q118" t="s">
        <v>220</v>
      </c>
      <c r="R118" t="s">
        <v>78</v>
      </c>
      <c r="T118" t="s">
        <v>79</v>
      </c>
    </row>
    <row r="119" spans="1:20">
      <c r="E119" t="s">
        <v>386</v>
      </c>
      <c r="F119" t="s">
        <v>387</v>
      </c>
      <c r="G119" t="s">
        <v>381</v>
      </c>
      <c r="H119" t="s">
        <v>381</v>
      </c>
      <c r="I119" t="str">
        <f>值集数据!$E$27</f>
        <v>hpfm_lov-27</v>
      </c>
      <c r="J119" t="s">
        <v>78</v>
      </c>
      <c r="K119" t="s">
        <v>388</v>
      </c>
      <c r="L119" t="s">
        <v>382</v>
      </c>
      <c r="M119" t="s">
        <v>383</v>
      </c>
      <c r="N119" t="s">
        <v>383</v>
      </c>
      <c r="Q119" t="s">
        <v>220</v>
      </c>
      <c r="R119" t="s">
        <v>78</v>
      </c>
      <c r="T119" t="s">
        <v>79</v>
      </c>
    </row>
    <row r="120" spans="1:20">
      <c r="E120" t="s">
        <v>389</v>
      </c>
      <c r="F120" t="s">
        <v>153</v>
      </c>
      <c r="G120" t="s">
        <v>373</v>
      </c>
      <c r="H120" t="s">
        <v>373</v>
      </c>
      <c r="I120" t="str">
        <f>值集数据!$E$29</f>
        <v>hpfm_lov-29</v>
      </c>
      <c r="J120" t="s">
        <v>78</v>
      </c>
      <c r="K120" t="s">
        <v>374</v>
      </c>
      <c r="L120" t="s">
        <v>375</v>
      </c>
      <c r="M120" t="s">
        <v>376</v>
      </c>
      <c r="N120" t="s">
        <v>376</v>
      </c>
      <c r="Q120" t="s">
        <v>220</v>
      </c>
      <c r="R120" t="s">
        <v>78</v>
      </c>
      <c r="T120" t="s">
        <v>79</v>
      </c>
    </row>
    <row r="121" spans="1:20">
      <c r="E121" t="s">
        <v>390</v>
      </c>
      <c r="F121" t="s">
        <v>157</v>
      </c>
      <c r="G121" t="s">
        <v>159</v>
      </c>
      <c r="H121" t="s">
        <v>160</v>
      </c>
      <c r="I121" t="str">
        <f>值集数据!$E$30</f>
        <v>hpfm_lov-30</v>
      </c>
      <c r="J121" t="s">
        <v>78</v>
      </c>
      <c r="K121" t="s">
        <v>391</v>
      </c>
      <c r="L121" t="s">
        <v>392</v>
      </c>
      <c r="Q121" t="s">
        <v>220</v>
      </c>
      <c r="R121" t="s">
        <v>78</v>
      </c>
      <c r="T121" t="s">
        <v>79</v>
      </c>
    </row>
    <row r="122" spans="1:20">
      <c r="E122" t="s">
        <v>393</v>
      </c>
      <c r="F122" t="s">
        <v>166</v>
      </c>
      <c r="G122" t="s">
        <v>167</v>
      </c>
      <c r="H122" t="s">
        <v>167</v>
      </c>
      <c r="I122" t="str">
        <f>值集数据!$E$32</f>
        <v>hpfm_lov-32</v>
      </c>
      <c r="J122" t="s">
        <v>78</v>
      </c>
      <c r="K122" t="s">
        <v>170</v>
      </c>
      <c r="L122" t="s">
        <v>394</v>
      </c>
      <c r="M122" t="s">
        <v>395</v>
      </c>
      <c r="N122" t="s">
        <v>395</v>
      </c>
      <c r="Q122" t="s">
        <v>220</v>
      </c>
      <c r="R122" t="s">
        <v>78</v>
      </c>
      <c r="T122" t="s">
        <v>79</v>
      </c>
    </row>
    <row r="123" spans="1:20">
      <c r="E123" t="s">
        <v>396</v>
      </c>
      <c r="F123" t="s">
        <v>172</v>
      </c>
      <c r="G123" t="s">
        <v>397</v>
      </c>
      <c r="H123" t="s">
        <v>397</v>
      </c>
      <c r="I123" t="str">
        <f>值集数据!$E$33</f>
        <v>hpfm_lov-33</v>
      </c>
      <c r="J123" t="s">
        <v>78</v>
      </c>
      <c r="K123" t="s">
        <v>104</v>
      </c>
      <c r="L123" t="s">
        <v>370</v>
      </c>
      <c r="M123" t="s">
        <v>398</v>
      </c>
      <c r="N123" t="s">
        <v>398</v>
      </c>
      <c r="Q123" t="s">
        <v>220</v>
      </c>
      <c r="R123" t="s">
        <v>78</v>
      </c>
      <c r="T123" t="s">
        <v>79</v>
      </c>
    </row>
    <row r="124" spans="1:20">
      <c r="E124" t="s">
        <v>399</v>
      </c>
      <c r="F124" t="s">
        <v>400</v>
      </c>
      <c r="G124" t="s">
        <v>107</v>
      </c>
      <c r="H124" t="s">
        <v>107</v>
      </c>
      <c r="I124" t="str">
        <f>值集数据!$E$16</f>
        <v>hpfm_lov-16</v>
      </c>
      <c r="J124" t="s">
        <v>78</v>
      </c>
      <c r="K124" t="s">
        <v>401</v>
      </c>
      <c r="L124" t="s">
        <v>402</v>
      </c>
      <c r="M124" t="s">
        <v>403</v>
      </c>
      <c r="N124" t="s">
        <v>403</v>
      </c>
      <c r="Q124" t="s">
        <v>220</v>
      </c>
      <c r="R124" t="s">
        <v>78</v>
      </c>
      <c r="T124" t="s">
        <v>79</v>
      </c>
    </row>
    <row r="125" spans="1:20">
      <c r="E125" t="s">
        <v>404</v>
      </c>
      <c r="F125" t="s">
        <v>405</v>
      </c>
      <c r="G125" t="s">
        <v>406</v>
      </c>
      <c r="H125" t="s">
        <v>406</v>
      </c>
      <c r="I125" t="str">
        <f>值集数据!$E$15</f>
        <v>hpfm_lov-15</v>
      </c>
      <c r="J125" t="s">
        <v>78</v>
      </c>
      <c r="K125" t="s">
        <v>370</v>
      </c>
      <c r="L125" t="s">
        <v>370</v>
      </c>
      <c r="M125" t="s">
        <v>371</v>
      </c>
      <c r="N125" t="s">
        <v>371</v>
      </c>
      <c r="Q125" t="s">
        <v>220</v>
      </c>
      <c r="R125" t="s">
        <v>78</v>
      </c>
      <c r="T125" t="s">
        <v>79</v>
      </c>
    </row>
    <row r="126" spans="1:20">
      <c r="E126" t="s">
        <v>407</v>
      </c>
      <c r="F126" t="s">
        <v>185</v>
      </c>
      <c r="G126" t="s">
        <v>408</v>
      </c>
      <c r="H126" t="s">
        <v>408</v>
      </c>
      <c r="I126" t="str">
        <f>值集数据!$E$36</f>
        <v>hpfm_lov-36</v>
      </c>
      <c r="J126" t="s">
        <v>78</v>
      </c>
      <c r="K126" t="s">
        <v>409</v>
      </c>
      <c r="L126" t="s">
        <v>402</v>
      </c>
      <c r="M126" t="s">
        <v>410</v>
      </c>
      <c r="N126" t="s">
        <v>410</v>
      </c>
      <c r="Q126" t="s">
        <v>220</v>
      </c>
      <c r="R126" t="s">
        <v>78</v>
      </c>
      <c r="T126" t="s">
        <v>79</v>
      </c>
    </row>
    <row r="128" spans="1:20">
      <c r="A128" t="s">
        <v>50</v>
      </c>
      <c r="B128" t="s">
        <v>51</v>
      </c>
      <c r="C128" t="s">
        <v>411</v>
      </c>
      <c r="D128" s="49" t="s">
        <v>412</v>
      </c>
      <c r="E128" s="50" t="s">
        <v>413</v>
      </c>
      <c r="F128" s="51" t="s">
        <v>414</v>
      </c>
      <c r="G128" t="s">
        <v>415</v>
      </c>
      <c r="H128" s="52" t="s">
        <v>361</v>
      </c>
      <c r="I128" t="s">
        <v>416</v>
      </c>
      <c r="J128" t="s">
        <v>417</v>
      </c>
      <c r="K128" t="s">
        <v>205</v>
      </c>
      <c r="L128" s="53" t="s">
        <v>418</v>
      </c>
      <c r="M128" t="s">
        <v>419</v>
      </c>
      <c r="N128" t="s">
        <v>420</v>
      </c>
      <c r="O128" t="s">
        <v>421</v>
      </c>
      <c r="P128" t="s">
        <v>70</v>
      </c>
    </row>
    <row r="129" spans="5:16">
      <c r="E129" t="s">
        <v>422</v>
      </c>
      <c r="F129" t="str">
        <f>值集数据!$E$115</f>
        <v>hpfm_lov_view_header-115</v>
      </c>
      <c r="G129" t="s">
        <v>78</v>
      </c>
      <c r="H129" t="str">
        <f>值集数据!$E$23</f>
        <v>hpfm_lov-23</v>
      </c>
      <c r="I129" t="s">
        <v>423</v>
      </c>
      <c r="J129" t="s">
        <v>423</v>
      </c>
      <c r="K129" t="s">
        <v>267</v>
      </c>
      <c r="L129" t="s">
        <v>424</v>
      </c>
      <c r="M129" t="s">
        <v>78</v>
      </c>
      <c r="N129" t="s">
        <v>78</v>
      </c>
      <c r="O129" t="s">
        <v>425</v>
      </c>
      <c r="P129" t="s">
        <v>79</v>
      </c>
    </row>
    <row r="130" spans="5:16">
      <c r="E130" t="s">
        <v>426</v>
      </c>
      <c r="F130" t="str">
        <f>值集数据!$E$115</f>
        <v>hpfm_lov_view_header-115</v>
      </c>
      <c r="G130" t="s">
        <v>78</v>
      </c>
      <c r="H130" t="str">
        <f>值集数据!$E$23</f>
        <v>hpfm_lov-23</v>
      </c>
      <c r="I130" t="s">
        <v>427</v>
      </c>
      <c r="J130" t="s">
        <v>427</v>
      </c>
      <c r="K130" t="s">
        <v>223</v>
      </c>
      <c r="L130" t="s">
        <v>428</v>
      </c>
      <c r="M130" t="s">
        <v>79</v>
      </c>
      <c r="N130" t="s">
        <v>79</v>
      </c>
      <c r="O130" t="s">
        <v>425</v>
      </c>
      <c r="P130" t="s">
        <v>79</v>
      </c>
    </row>
    <row r="131" spans="5:16">
      <c r="E131" t="s">
        <v>429</v>
      </c>
      <c r="F131" t="str">
        <f>值集数据!$E$115</f>
        <v>hpfm_lov_view_header-115</v>
      </c>
      <c r="G131" t="s">
        <v>78</v>
      </c>
      <c r="H131" t="str">
        <f>值集数据!$E$23</f>
        <v>hpfm_lov-23</v>
      </c>
      <c r="I131" t="s">
        <v>430</v>
      </c>
      <c r="J131" t="s">
        <v>430</v>
      </c>
      <c r="K131" t="s">
        <v>220</v>
      </c>
      <c r="L131" t="s">
        <v>374</v>
      </c>
      <c r="M131" t="s">
        <v>78</v>
      </c>
      <c r="N131" t="s">
        <v>78</v>
      </c>
      <c r="O131" t="s">
        <v>425</v>
      </c>
      <c r="P131" t="s">
        <v>79</v>
      </c>
    </row>
    <row r="132" spans="5:16">
      <c r="E132" t="s">
        <v>431</v>
      </c>
      <c r="F132" t="str">
        <f>值集数据!$E$115</f>
        <v>hpfm_lov_view_header-115</v>
      </c>
      <c r="G132" t="s">
        <v>78</v>
      </c>
      <c r="H132" t="str">
        <f>值集数据!$E$23</f>
        <v>hpfm_lov-23</v>
      </c>
      <c r="I132" t="s">
        <v>432</v>
      </c>
      <c r="J132" t="s">
        <v>432</v>
      </c>
      <c r="K132" t="s">
        <v>239</v>
      </c>
      <c r="L132" t="s">
        <v>375</v>
      </c>
      <c r="M132" t="s">
        <v>79</v>
      </c>
      <c r="N132" t="s">
        <v>79</v>
      </c>
      <c r="O132" t="s">
        <v>425</v>
      </c>
      <c r="P132" t="s">
        <v>79</v>
      </c>
    </row>
    <row r="133" spans="5:16">
      <c r="E133" t="s">
        <v>433</v>
      </c>
      <c r="F133" t="str">
        <f>值集数据!$E$116</f>
        <v>hpfm_lov_view_header-116</v>
      </c>
      <c r="G133" t="s">
        <v>78</v>
      </c>
      <c r="H133" t="str">
        <f>值集数据!$E$24</f>
        <v>hpfm_lov-24</v>
      </c>
      <c r="I133" t="s">
        <v>434</v>
      </c>
      <c r="J133" t="s">
        <v>434</v>
      </c>
      <c r="K133" t="s">
        <v>220</v>
      </c>
      <c r="L133" t="s">
        <v>435</v>
      </c>
      <c r="M133" t="s">
        <v>79</v>
      </c>
      <c r="N133" t="s">
        <v>79</v>
      </c>
      <c r="O133" t="s">
        <v>436</v>
      </c>
      <c r="P133" t="s">
        <v>79</v>
      </c>
    </row>
    <row r="134" spans="5:16">
      <c r="E134" t="s">
        <v>437</v>
      </c>
      <c r="F134" t="str">
        <f>值集数据!$E$116</f>
        <v>hpfm_lov_view_header-116</v>
      </c>
      <c r="G134" t="s">
        <v>78</v>
      </c>
      <c r="H134" t="str">
        <f>值集数据!$E$24</f>
        <v>hpfm_lov-24</v>
      </c>
      <c r="I134" t="s">
        <v>438</v>
      </c>
      <c r="J134" t="s">
        <v>438</v>
      </c>
      <c r="K134" t="s">
        <v>223</v>
      </c>
      <c r="L134" t="s">
        <v>378</v>
      </c>
      <c r="M134" t="s">
        <v>79</v>
      </c>
      <c r="N134" t="s">
        <v>79</v>
      </c>
      <c r="O134" t="s">
        <v>436</v>
      </c>
      <c r="P134" t="s">
        <v>79</v>
      </c>
    </row>
    <row r="135" spans="5:16">
      <c r="E135" t="s">
        <v>439</v>
      </c>
      <c r="F135" t="str">
        <f>值集数据!$E$117</f>
        <v>hpfm_lov_view_header-117</v>
      </c>
      <c r="G135" t="s">
        <v>78</v>
      </c>
      <c r="H135" t="str">
        <f>值集数据!$E$27</f>
        <v>hpfm_lov-27</v>
      </c>
      <c r="I135" t="s">
        <v>440</v>
      </c>
      <c r="J135" t="s">
        <v>440</v>
      </c>
      <c r="K135" t="s">
        <v>284</v>
      </c>
      <c r="L135" t="s">
        <v>382</v>
      </c>
      <c r="M135" t="s">
        <v>79</v>
      </c>
      <c r="N135" t="s">
        <v>79</v>
      </c>
      <c r="O135" t="s">
        <v>441</v>
      </c>
      <c r="P135" t="s">
        <v>79</v>
      </c>
    </row>
    <row r="136" spans="5:16">
      <c r="E136" t="s">
        <v>442</v>
      </c>
      <c r="F136" t="str">
        <f>值集数据!$E$117</f>
        <v>hpfm_lov_view_header-117</v>
      </c>
      <c r="G136" t="s">
        <v>78</v>
      </c>
      <c r="H136" t="str">
        <f>值集数据!$E$27</f>
        <v>hpfm_lov-27</v>
      </c>
      <c r="I136" t="s">
        <v>443</v>
      </c>
      <c r="J136" t="s">
        <v>443</v>
      </c>
      <c r="K136" t="s">
        <v>79</v>
      </c>
      <c r="L136" t="s">
        <v>385</v>
      </c>
      <c r="M136" t="s">
        <v>79</v>
      </c>
      <c r="N136" t="s">
        <v>79</v>
      </c>
      <c r="O136" t="s">
        <v>425</v>
      </c>
      <c r="P136" t="s">
        <v>79</v>
      </c>
    </row>
    <row r="137" spans="5:16">
      <c r="E137" t="s">
        <v>444</v>
      </c>
      <c r="F137" t="str">
        <f>值集数据!$E$118</f>
        <v>hpfm_lov_view_header-118</v>
      </c>
      <c r="G137" t="s">
        <v>78</v>
      </c>
      <c r="H137" t="str">
        <f>值集数据!$E$28</f>
        <v>hpfm_lov-28</v>
      </c>
      <c r="I137" t="s">
        <v>440</v>
      </c>
      <c r="J137" t="s">
        <v>440</v>
      </c>
      <c r="K137" t="s">
        <v>79</v>
      </c>
      <c r="L137" t="s">
        <v>382</v>
      </c>
      <c r="M137" t="s">
        <v>79</v>
      </c>
      <c r="N137" t="s">
        <v>79</v>
      </c>
      <c r="O137" t="s">
        <v>441</v>
      </c>
      <c r="P137" t="s">
        <v>79</v>
      </c>
    </row>
    <row r="138" spans="5:16">
      <c r="E138" t="s">
        <v>445</v>
      </c>
      <c r="F138" t="str">
        <f>值集数据!$E$118</f>
        <v>hpfm_lov_view_header-118</v>
      </c>
      <c r="G138" t="s">
        <v>78</v>
      </c>
      <c r="H138" t="str">
        <f>值集数据!$E$28</f>
        <v>hpfm_lov-28</v>
      </c>
      <c r="I138" t="s">
        <v>443</v>
      </c>
      <c r="J138" t="s">
        <v>443</v>
      </c>
      <c r="K138" t="s">
        <v>284</v>
      </c>
      <c r="L138" t="s">
        <v>385</v>
      </c>
      <c r="M138" t="s">
        <v>79</v>
      </c>
      <c r="N138" t="s">
        <v>79</v>
      </c>
      <c r="O138" t="s">
        <v>441</v>
      </c>
      <c r="P138" t="s">
        <v>79</v>
      </c>
    </row>
    <row r="139" spans="5:16">
      <c r="E139" t="s">
        <v>446</v>
      </c>
      <c r="F139" t="str">
        <f>值集数据!$E$118</f>
        <v>hpfm_lov_view_header-118</v>
      </c>
      <c r="G139" t="s">
        <v>78</v>
      </c>
      <c r="H139" t="str">
        <f>值集数据!$E$28</f>
        <v>hpfm_lov-28</v>
      </c>
      <c r="I139" t="s">
        <v>447</v>
      </c>
      <c r="J139" t="s">
        <v>447</v>
      </c>
      <c r="K139" t="s">
        <v>328</v>
      </c>
      <c r="L139" t="s">
        <v>448</v>
      </c>
      <c r="M139" t="s">
        <v>78</v>
      </c>
      <c r="N139" t="s">
        <v>79</v>
      </c>
      <c r="O139" t="s">
        <v>271</v>
      </c>
      <c r="P139" t="s">
        <v>79</v>
      </c>
    </row>
    <row r="140" spans="5:16">
      <c r="E140" t="s">
        <v>449</v>
      </c>
      <c r="F140" t="str">
        <f>值集数据!$E$119</f>
        <v>hpfm_lov_view_header-119</v>
      </c>
      <c r="G140" t="s">
        <v>78</v>
      </c>
      <c r="H140" t="str">
        <f>值集数据!$E$27</f>
        <v>hpfm_lov-27</v>
      </c>
      <c r="I140" t="s">
        <v>450</v>
      </c>
      <c r="J140" t="s">
        <v>450</v>
      </c>
      <c r="K140" t="s">
        <v>79</v>
      </c>
      <c r="L140" t="s">
        <v>382</v>
      </c>
      <c r="M140" t="s">
        <v>79</v>
      </c>
      <c r="N140" t="s">
        <v>79</v>
      </c>
      <c r="O140" t="s">
        <v>425</v>
      </c>
      <c r="P140" t="s">
        <v>79</v>
      </c>
    </row>
    <row r="141" spans="5:16">
      <c r="E141" t="s">
        <v>451</v>
      </c>
      <c r="F141" t="str">
        <f>值集数据!$E$119</f>
        <v>hpfm_lov_view_header-119</v>
      </c>
      <c r="G141" t="s">
        <v>78</v>
      </c>
      <c r="H141" t="str">
        <f>值集数据!$E$27</f>
        <v>hpfm_lov-27</v>
      </c>
      <c r="I141" t="s">
        <v>452</v>
      </c>
      <c r="J141" t="s">
        <v>452</v>
      </c>
      <c r="K141" t="s">
        <v>284</v>
      </c>
      <c r="L141" t="s">
        <v>385</v>
      </c>
      <c r="M141" t="s">
        <v>79</v>
      </c>
      <c r="N141" t="s">
        <v>79</v>
      </c>
      <c r="O141" t="s">
        <v>425</v>
      </c>
      <c r="P141" t="s">
        <v>79</v>
      </c>
    </row>
    <row r="142" spans="5:16">
      <c r="E142" t="s">
        <v>453</v>
      </c>
      <c r="F142" t="str">
        <f>值集数据!$E$119</f>
        <v>hpfm_lov_view_header-119</v>
      </c>
      <c r="G142" t="s">
        <v>78</v>
      </c>
      <c r="H142" t="str">
        <f>值集数据!$E$27</f>
        <v>hpfm_lov-27</v>
      </c>
      <c r="I142" t="s">
        <v>454</v>
      </c>
      <c r="J142" t="s">
        <v>454</v>
      </c>
      <c r="K142" t="s">
        <v>328</v>
      </c>
      <c r="L142" t="s">
        <v>424</v>
      </c>
      <c r="M142" t="s">
        <v>79</v>
      </c>
      <c r="N142" t="s">
        <v>79</v>
      </c>
      <c r="O142" t="s">
        <v>425</v>
      </c>
      <c r="P142" t="s">
        <v>79</v>
      </c>
    </row>
    <row r="143" spans="5:16">
      <c r="E143" t="s">
        <v>455</v>
      </c>
      <c r="F143" t="str">
        <f>值集数据!$E$120</f>
        <v>hpfm_lov_view_header-120</v>
      </c>
      <c r="G143" t="s">
        <v>78</v>
      </c>
      <c r="H143" t="str">
        <f>值集数据!$E$29</f>
        <v>hpfm_lov-29</v>
      </c>
      <c r="I143" t="s">
        <v>454</v>
      </c>
      <c r="J143" t="s">
        <v>454</v>
      </c>
      <c r="K143" t="s">
        <v>425</v>
      </c>
      <c r="L143" t="s">
        <v>424</v>
      </c>
      <c r="M143" t="s">
        <v>78</v>
      </c>
      <c r="N143" t="s">
        <v>78</v>
      </c>
      <c r="O143" t="s">
        <v>425</v>
      </c>
      <c r="P143" t="s">
        <v>79</v>
      </c>
    </row>
    <row r="144" spans="5:16">
      <c r="E144" t="s">
        <v>456</v>
      </c>
      <c r="F144" t="str">
        <f>值集数据!$E$120</f>
        <v>hpfm_lov_view_header-120</v>
      </c>
      <c r="G144" t="s">
        <v>78</v>
      </c>
      <c r="H144" t="str">
        <f>值集数据!$E$29</f>
        <v>hpfm_lov-29</v>
      </c>
      <c r="I144" t="s">
        <v>427</v>
      </c>
      <c r="J144" t="s">
        <v>427</v>
      </c>
      <c r="K144" t="s">
        <v>223</v>
      </c>
      <c r="L144" t="s">
        <v>428</v>
      </c>
      <c r="M144" t="s">
        <v>79</v>
      </c>
      <c r="N144" t="s">
        <v>79</v>
      </c>
      <c r="O144" t="s">
        <v>425</v>
      </c>
      <c r="P144" t="s">
        <v>79</v>
      </c>
    </row>
    <row r="145" spans="5:16">
      <c r="E145" t="s">
        <v>457</v>
      </c>
      <c r="F145" t="str">
        <f>值集数据!$E$120</f>
        <v>hpfm_lov_view_header-120</v>
      </c>
      <c r="G145" t="s">
        <v>78</v>
      </c>
      <c r="H145" t="str">
        <f>值集数据!$E$29</f>
        <v>hpfm_lov-29</v>
      </c>
      <c r="I145" t="s">
        <v>458</v>
      </c>
      <c r="J145" t="s">
        <v>458</v>
      </c>
      <c r="K145" t="s">
        <v>220</v>
      </c>
      <c r="L145" t="s">
        <v>374</v>
      </c>
      <c r="M145" t="s">
        <v>78</v>
      </c>
      <c r="N145" t="s">
        <v>78</v>
      </c>
      <c r="O145" t="s">
        <v>425</v>
      </c>
      <c r="P145" t="s">
        <v>79</v>
      </c>
    </row>
    <row r="146" spans="5:16">
      <c r="E146" t="s">
        <v>459</v>
      </c>
      <c r="F146" t="str">
        <f>值集数据!$E$120</f>
        <v>hpfm_lov_view_header-120</v>
      </c>
      <c r="G146" t="s">
        <v>78</v>
      </c>
      <c r="H146" t="str">
        <f>值集数据!$E$29</f>
        <v>hpfm_lov-29</v>
      </c>
      <c r="I146" t="s">
        <v>432</v>
      </c>
      <c r="J146" t="s">
        <v>432</v>
      </c>
      <c r="K146" t="s">
        <v>239</v>
      </c>
      <c r="L146" t="s">
        <v>375</v>
      </c>
      <c r="M146" t="s">
        <v>79</v>
      </c>
      <c r="N146" t="s">
        <v>79</v>
      </c>
      <c r="O146" t="s">
        <v>425</v>
      </c>
      <c r="P146" t="s">
        <v>79</v>
      </c>
    </row>
    <row r="147" spans="5:16">
      <c r="E147" t="s">
        <v>460</v>
      </c>
      <c r="F147" t="str">
        <f>值集数据!$E$121</f>
        <v>hpfm_lov_view_header-121</v>
      </c>
      <c r="G147" t="s">
        <v>78</v>
      </c>
      <c r="H147" t="str">
        <f>值集数据!$E$30</f>
        <v>hpfm_lov-30</v>
      </c>
      <c r="I147" t="s">
        <v>461</v>
      </c>
      <c r="J147" t="s">
        <v>462</v>
      </c>
      <c r="K147" t="s">
        <v>267</v>
      </c>
      <c r="L147" t="s">
        <v>463</v>
      </c>
      <c r="M147" t="s">
        <v>79</v>
      </c>
      <c r="N147" t="s">
        <v>79</v>
      </c>
      <c r="O147" t="s">
        <v>441</v>
      </c>
      <c r="P147" t="s">
        <v>79</v>
      </c>
    </row>
    <row r="148" spans="5:16">
      <c r="E148" t="s">
        <v>464</v>
      </c>
      <c r="F148" t="str">
        <f>值集数据!$E$121</f>
        <v>hpfm_lov_view_header-121</v>
      </c>
      <c r="G148" t="s">
        <v>78</v>
      </c>
      <c r="H148" t="str">
        <f>值集数据!$E$30</f>
        <v>hpfm_lov-30</v>
      </c>
      <c r="I148" t="s">
        <v>465</v>
      </c>
      <c r="J148" t="s">
        <v>466</v>
      </c>
      <c r="K148" t="s">
        <v>220</v>
      </c>
      <c r="L148" t="s">
        <v>467</v>
      </c>
      <c r="M148" t="s">
        <v>79</v>
      </c>
      <c r="N148" t="s">
        <v>79</v>
      </c>
      <c r="O148" t="s">
        <v>468</v>
      </c>
      <c r="P148" t="s">
        <v>79</v>
      </c>
    </row>
    <row r="149" spans="5:16">
      <c r="E149" t="s">
        <v>469</v>
      </c>
      <c r="F149" t="str">
        <f>值集数据!$E$121</f>
        <v>hpfm_lov_view_header-121</v>
      </c>
      <c r="G149" t="s">
        <v>78</v>
      </c>
      <c r="H149" t="str">
        <f>值集数据!$E$30</f>
        <v>hpfm_lov-30</v>
      </c>
      <c r="I149" t="s">
        <v>470</v>
      </c>
      <c r="J149" t="s">
        <v>471</v>
      </c>
      <c r="K149" t="s">
        <v>239</v>
      </c>
      <c r="L149" t="s">
        <v>471</v>
      </c>
      <c r="M149" t="s">
        <v>79</v>
      </c>
      <c r="N149" t="s">
        <v>79</v>
      </c>
      <c r="O149" t="s">
        <v>472</v>
      </c>
      <c r="P149" t="s">
        <v>79</v>
      </c>
    </row>
    <row r="150" spans="5:16">
      <c r="E150" t="s">
        <v>473</v>
      </c>
      <c r="F150" t="str">
        <f>值集数据!$E$121</f>
        <v>hpfm_lov_view_header-121</v>
      </c>
      <c r="G150" t="s">
        <v>78</v>
      </c>
      <c r="H150" t="str">
        <f>值集数据!$E$30</f>
        <v>hpfm_lov-30</v>
      </c>
      <c r="I150" t="s">
        <v>474</v>
      </c>
      <c r="J150" t="s">
        <v>475</v>
      </c>
      <c r="K150" t="s">
        <v>223</v>
      </c>
      <c r="L150" t="s">
        <v>476</v>
      </c>
      <c r="M150" t="s">
        <v>79</v>
      </c>
      <c r="N150" t="s">
        <v>79</v>
      </c>
      <c r="O150" t="s">
        <v>468</v>
      </c>
      <c r="P150" t="s">
        <v>79</v>
      </c>
    </row>
    <row r="151" spans="5:16">
      <c r="E151" t="s">
        <v>477</v>
      </c>
      <c r="F151" t="str">
        <f>值集数据!$E$122</f>
        <v>hpfm_lov_view_header-122</v>
      </c>
      <c r="G151" t="s">
        <v>78</v>
      </c>
      <c r="H151" t="str">
        <f>值集数据!$E$32</f>
        <v>hpfm_lov-32</v>
      </c>
      <c r="I151" t="s">
        <v>478</v>
      </c>
      <c r="J151" t="s">
        <v>478</v>
      </c>
      <c r="K151" t="s">
        <v>79</v>
      </c>
      <c r="L151" t="s">
        <v>479</v>
      </c>
      <c r="M151" t="s">
        <v>79</v>
      </c>
      <c r="N151" t="s">
        <v>79</v>
      </c>
      <c r="O151" t="s">
        <v>425</v>
      </c>
      <c r="P151" t="s">
        <v>79</v>
      </c>
    </row>
    <row r="152" spans="5:16">
      <c r="E152" t="s">
        <v>480</v>
      </c>
      <c r="F152" t="str">
        <f>值集数据!$E$122</f>
        <v>hpfm_lov_view_header-122</v>
      </c>
      <c r="G152" t="s">
        <v>78</v>
      </c>
      <c r="H152" t="str">
        <f>值集数据!$E$32</f>
        <v>hpfm_lov-32</v>
      </c>
      <c r="I152" t="s">
        <v>481</v>
      </c>
      <c r="J152" t="s">
        <v>481</v>
      </c>
      <c r="K152" t="s">
        <v>284</v>
      </c>
      <c r="L152" t="s">
        <v>394</v>
      </c>
      <c r="M152" t="s">
        <v>79</v>
      </c>
      <c r="N152" t="s">
        <v>79</v>
      </c>
      <c r="O152" t="s">
        <v>441</v>
      </c>
      <c r="P152" t="s">
        <v>79</v>
      </c>
    </row>
    <row r="153" spans="5:16">
      <c r="E153" t="s">
        <v>482</v>
      </c>
      <c r="F153" t="str">
        <f>值集数据!$E$123</f>
        <v>hpfm_lov_view_header-123</v>
      </c>
      <c r="G153" t="s">
        <v>78</v>
      </c>
      <c r="H153" t="str">
        <f>值集数据!$E$33</f>
        <v>hpfm_lov-33</v>
      </c>
      <c r="I153" t="s">
        <v>483</v>
      </c>
      <c r="J153" t="s">
        <v>483</v>
      </c>
      <c r="K153" t="s">
        <v>284</v>
      </c>
      <c r="L153" t="s">
        <v>370</v>
      </c>
      <c r="M153" t="s">
        <v>79</v>
      </c>
      <c r="N153" t="s">
        <v>79</v>
      </c>
      <c r="O153" t="s">
        <v>425</v>
      </c>
      <c r="P153" t="s">
        <v>79</v>
      </c>
    </row>
    <row r="154" spans="5:16">
      <c r="E154" t="s">
        <v>484</v>
      </c>
      <c r="F154" t="str">
        <f>值集数据!$E$123</f>
        <v>hpfm_lov_view_header-123</v>
      </c>
      <c r="G154" t="s">
        <v>78</v>
      </c>
      <c r="H154" t="str">
        <f>值集数据!$E$33</f>
        <v>hpfm_lov-33</v>
      </c>
      <c r="I154" t="s">
        <v>485</v>
      </c>
      <c r="J154" t="s">
        <v>485</v>
      </c>
      <c r="K154" t="s">
        <v>79</v>
      </c>
      <c r="L154" t="s">
        <v>486</v>
      </c>
      <c r="M154" t="s">
        <v>79</v>
      </c>
      <c r="N154" t="s">
        <v>79</v>
      </c>
      <c r="O154" t="s">
        <v>441</v>
      </c>
      <c r="P154" t="s">
        <v>79</v>
      </c>
    </row>
    <row r="155" spans="5:16">
      <c r="E155" t="s">
        <v>487</v>
      </c>
      <c r="F155" t="str">
        <f>值集数据!$E$124</f>
        <v>hpfm_lov_view_header-124</v>
      </c>
      <c r="G155" t="s">
        <v>78</v>
      </c>
      <c r="H155" t="str">
        <f>值集数据!$E$16</f>
        <v>hpfm_lov-16</v>
      </c>
      <c r="I155" t="s">
        <v>488</v>
      </c>
      <c r="J155" t="s">
        <v>488</v>
      </c>
      <c r="K155" t="s">
        <v>284</v>
      </c>
      <c r="L155" t="s">
        <v>402</v>
      </c>
      <c r="M155" t="s">
        <v>79</v>
      </c>
      <c r="N155" t="s">
        <v>79</v>
      </c>
      <c r="O155" t="s">
        <v>489</v>
      </c>
      <c r="P155" t="s">
        <v>79</v>
      </c>
    </row>
    <row r="156" spans="5:16">
      <c r="E156" t="s">
        <v>490</v>
      </c>
      <c r="F156" t="str">
        <f>值集数据!$E$124</f>
        <v>hpfm_lov_view_header-124</v>
      </c>
      <c r="G156" t="s">
        <v>78</v>
      </c>
      <c r="H156" t="str">
        <f>值集数据!$E$16</f>
        <v>hpfm_lov-16</v>
      </c>
      <c r="I156" t="s">
        <v>491</v>
      </c>
      <c r="J156" t="s">
        <v>491</v>
      </c>
      <c r="K156" t="s">
        <v>79</v>
      </c>
      <c r="L156" t="s">
        <v>401</v>
      </c>
      <c r="M156" t="s">
        <v>79</v>
      </c>
      <c r="N156" t="s">
        <v>79</v>
      </c>
      <c r="O156" t="s">
        <v>489</v>
      </c>
      <c r="P156" t="s">
        <v>79</v>
      </c>
    </row>
    <row r="157" spans="5:16">
      <c r="E157" t="s">
        <v>492</v>
      </c>
      <c r="F157" t="str">
        <f>值集数据!$E$125</f>
        <v>hpfm_lov_view_header-125</v>
      </c>
      <c r="G157" t="s">
        <v>78</v>
      </c>
      <c r="H157" t="str">
        <f>值集数据!$E$15</f>
        <v>hpfm_lov-15</v>
      </c>
      <c r="I157" t="s">
        <v>485</v>
      </c>
      <c r="J157" t="s">
        <v>485</v>
      </c>
      <c r="K157" t="s">
        <v>239</v>
      </c>
      <c r="L157" t="s">
        <v>493</v>
      </c>
      <c r="M157" t="s">
        <v>78</v>
      </c>
      <c r="N157" t="s">
        <v>79</v>
      </c>
      <c r="O157" t="s">
        <v>441</v>
      </c>
      <c r="P157" t="s">
        <v>79</v>
      </c>
    </row>
    <row r="158" spans="5:16">
      <c r="E158" t="s">
        <v>494</v>
      </c>
      <c r="F158" t="str">
        <f>值集数据!$E$125</f>
        <v>hpfm_lov_view_header-125</v>
      </c>
      <c r="G158" t="s">
        <v>78</v>
      </c>
      <c r="H158" t="str">
        <f>值集数据!$E$15</f>
        <v>hpfm_lov-15</v>
      </c>
      <c r="I158" t="s">
        <v>483</v>
      </c>
      <c r="J158" t="s">
        <v>483</v>
      </c>
      <c r="K158" t="s">
        <v>220</v>
      </c>
      <c r="L158" t="s">
        <v>370</v>
      </c>
      <c r="M158" t="s">
        <v>79</v>
      </c>
      <c r="N158" t="s">
        <v>79</v>
      </c>
      <c r="O158" t="s">
        <v>441</v>
      </c>
      <c r="P158" t="s">
        <v>79</v>
      </c>
    </row>
    <row r="159" spans="5:16">
      <c r="E159" t="s">
        <v>495</v>
      </c>
      <c r="F159" t="str">
        <f>值集数据!$E$125</f>
        <v>hpfm_lov_view_header-125</v>
      </c>
      <c r="G159" t="s">
        <v>78</v>
      </c>
      <c r="H159" t="str">
        <f>值集数据!$E$15</f>
        <v>hpfm_lov-15</v>
      </c>
      <c r="I159" t="s">
        <v>485</v>
      </c>
      <c r="J159" t="s">
        <v>485</v>
      </c>
      <c r="K159" t="s">
        <v>223</v>
      </c>
      <c r="L159" t="s">
        <v>486</v>
      </c>
      <c r="M159" t="s">
        <v>79</v>
      </c>
      <c r="N159" t="s">
        <v>78</v>
      </c>
      <c r="O159" t="s">
        <v>441</v>
      </c>
      <c r="P159" t="s">
        <v>79</v>
      </c>
    </row>
    <row r="160" spans="5:16">
      <c r="E160" t="s">
        <v>496</v>
      </c>
      <c r="F160" t="str">
        <f>值集数据!$E$126</f>
        <v>hpfm_lov_view_header-126</v>
      </c>
      <c r="G160" t="s">
        <v>78</v>
      </c>
      <c r="H160" t="str">
        <f>值集数据!$E$36</f>
        <v>hpfm_lov-36</v>
      </c>
      <c r="I160" t="s">
        <v>497</v>
      </c>
      <c r="J160" t="s">
        <v>497</v>
      </c>
      <c r="K160" t="s">
        <v>220</v>
      </c>
      <c r="L160" t="s">
        <v>409</v>
      </c>
      <c r="M160" t="s">
        <v>79</v>
      </c>
      <c r="N160" t="s">
        <v>79</v>
      </c>
      <c r="O160" t="s">
        <v>489</v>
      </c>
      <c r="P160" t="s">
        <v>79</v>
      </c>
    </row>
    <row r="161" spans="5:16">
      <c r="E161" t="s">
        <v>498</v>
      </c>
      <c r="F161" t="str">
        <f>值集数据!$E$126</f>
        <v>hpfm_lov_view_header-126</v>
      </c>
      <c r="G161" t="s">
        <v>78</v>
      </c>
      <c r="H161" t="str">
        <f>值集数据!$E$36</f>
        <v>hpfm_lov-36</v>
      </c>
      <c r="I161" t="s">
        <v>499</v>
      </c>
      <c r="J161" t="s">
        <v>499</v>
      </c>
      <c r="K161" t="s">
        <v>223</v>
      </c>
      <c r="L161" t="s">
        <v>402</v>
      </c>
      <c r="M161" t="s">
        <v>79</v>
      </c>
      <c r="N161" t="s">
        <v>79</v>
      </c>
      <c r="O161" t="s">
        <v>489</v>
      </c>
      <c r="P161" t="s">
        <v>79</v>
      </c>
    </row>
  </sheetData>
  <phoneticPr fontId="1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README</vt:lpstr>
      <vt:lpstr>值集数据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Mr zhu</cp:lastModifiedBy>
  <cp:revision>2</cp:revision>
  <dcterms:created xsi:type="dcterms:W3CDTF">2016-10-02T09:34:00Z</dcterms:created>
  <dcterms:modified xsi:type="dcterms:W3CDTF">2020-07-16T07:25:23Z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