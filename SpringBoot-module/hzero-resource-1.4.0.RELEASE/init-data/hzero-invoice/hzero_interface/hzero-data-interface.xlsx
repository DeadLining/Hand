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服务注册" r:id="rId5" sheetId="2"/>
    <sheet name="接口配置" r:id="rId6" sheetId="3"/>
    <sheet name="服务认证配置" r:id="rId7" sheetId="4"/>
    <sheet name="接口文档参数" r:id="rId8" sheetId="5"/>
    <sheet name="应用类型定义" r:id="rId9" sheetId="6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<sst xmlns="http://schemas.openxmlformats.org/spreadsheetml/2006/main" count="509" uniqueCount="264">
  <si>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</si>
  <si>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</si>
  <si>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</si>
  <si>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</si>
  <si>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</si>
  <si>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</si>
  <si>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</si>
  <si>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</si>
  <si>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</si>
  <si>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</si>
  <si>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</si>
  <si>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</si>
  <si>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</si>
  <si>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</si>
  <si>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</si>
  <si>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</si>
  <si>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</si>
  <si>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</si>
  <si>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</si>
  <si>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</si>
  <si>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</si>
  <si>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</si>
  <si>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</si>
  <si>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</si>
  <si>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</si>
  <si>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</si>
  <si>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</si>
  <si>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</si>
  <si>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</si>
  <si>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</si>
  <si>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</si>
  <si>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</si>
  <si>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</si>
  <si>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</si>
  <si>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</si>
  <si>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</si>
  <si>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</si>
  <si>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</si>
  <si>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</si>
  <si>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</si>
  <si>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</si>
  <si>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</si>
  <si>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</si>
  <si>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</si>
  <si>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</si>
  <si>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</si>
  <si>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</si>
  <si>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</si>
  <si>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</si>
  <si>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</si>
  <si>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</si>
  <si>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</si>
  <si>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服务配置</t>
  </si>
  <si>
    <t>hitf_interface_server</t>
  </si>
  <si>
    <t>*interface_server_id</t>
  </si>
  <si>
    <t>#tenant_id</t>
  </si>
  <si>
    <t>#server_code</t>
  </si>
  <si>
    <t>server_name</t>
  </si>
  <si>
    <t>service_type</t>
  </si>
  <si>
    <t>domain_url</t>
  </si>
  <si>
    <t>soap_namespace</t>
  </si>
  <si>
    <t>soap_element_prefix</t>
  </si>
  <si>
    <t>enabled_flag</t>
  </si>
  <si>
    <t>service_category</t>
  </si>
  <si>
    <t>namespace</t>
  </si>
  <si>
    <t>enabled_certificate_flag</t>
  </si>
  <si>
    <t>certificate_id</t>
  </si>
  <si>
    <t>swagger_url</t>
  </si>
  <si>
    <t>public_flag</t>
  </si>
  <si>
    <t>hitf_interface_server-8</t>
  </si>
  <si>
    <t>0</t>
  </si>
  <si>
    <t>HIVC</t>
  </si>
  <si>
    <t>发票服务</t>
  </si>
  <si>
    <t>REST</t>
  </si>
  <si>
    <t>1</t>
  </si>
  <si>
    <t>COMPOSITE</t>
  </si>
  <si>
    <t>HZERO</t>
  </si>
  <si>
    <t>hitf_interface_server-9</t>
  </si>
  <si>
    <t>HIVC.HANGXIN</t>
  </si>
  <si>
    <t>航信发票服务</t>
  </si>
  <si>
    <t>http://192.168.17.180:8080/inv/invoice/api</t>
  </si>
  <si>
    <t>EXTERNAL</t>
  </si>
  <si>
    <t>hitf_interface_server-10</t>
  </si>
  <si>
    <t>HIVC.HELIOS</t>
  </si>
  <si>
    <t>汇联易发票服务</t>
  </si>
  <si>
    <t>http://106.15.26.10:10080</t>
  </si>
  <si>
    <t>接口配置</t>
  </si>
  <si>
    <t>hitf_interface</t>
  </si>
  <si>
    <t>*interface_id</t>
  </si>
  <si>
    <t>tenant_id</t>
  </si>
  <si>
    <t>#interface_server_id</t>
  </si>
  <si>
    <t>#interface_code</t>
  </si>
  <si>
    <t>interface_name</t>
  </si>
  <si>
    <t>interface_url</t>
  </si>
  <si>
    <t>publish_type</t>
  </si>
  <si>
    <t>request_method</t>
  </si>
  <si>
    <t>request_header</t>
  </si>
  <si>
    <t>soap_version</t>
  </si>
  <si>
    <t>soap_action</t>
  </si>
  <si>
    <t>status</t>
  </si>
  <si>
    <t>remark</t>
  </si>
  <si>
    <t>mapping_class</t>
  </si>
  <si>
    <t>hitf_interface-8</t>
  </si>
  <si>
    <t>INVOICE_AUTH</t>
  </si>
  <si>
    <t>发票认证</t>
  </si>
  <si>
    <t>POST</t>
  </si>
  <si>
    <t>application/json</t>
  </si>
  <si>
    <t>NEW</t>
  </si>
  <si>
    <t>hitf_interface-9</t>
  </si>
  <si>
    <t>INVOICE_AUTH_RESULT</t>
  </si>
  <si>
    <t>发票认证结果查询</t>
  </si>
  <si>
    <t>hitf_interface-10</t>
  </si>
  <si>
    <t>INVOICE_CHECK</t>
  </si>
  <si>
    <t>发票查验</t>
  </si>
  <si>
    <t>hitf_interface-11</t>
  </si>
  <si>
    <t>INVOICE_META_DATA</t>
  </si>
  <si>
    <t>发票主数据采集</t>
  </si>
  <si>
    <t>hitf_interface-12</t>
  </si>
  <si>
    <t>INVOICE_TICK</t>
  </si>
  <si>
    <t>发票勾选</t>
  </si>
  <si>
    <t>hitf_interface-13</t>
  </si>
  <si>
    <t>INVOICE_TICK_RESULT</t>
  </si>
  <si>
    <t>发票勾选结果查询</t>
  </si>
  <si>
    <t>hitf_interface-14</t>
  </si>
  <si>
    <t>invoiceRequest</t>
  </si>
  <si>
    <t>ENABLED</t>
  </si>
  <si>
    <t>hitf_interface-15</t>
  </si>
  <si>
    <t>/businessInfo</t>
  </si>
  <si>
    <t>hitf_interface-16</t>
  </si>
  <si>
    <t>/invoiceCheck</t>
  </si>
  <si>
    <t>hitf_interface-17</t>
  </si>
  <si>
    <t>发票主信息采集</t>
  </si>
  <si>
    <t>/invoiceMainInfor</t>
  </si>
  <si>
    <t>hitf_interface-18</t>
  </si>
  <si>
    <t>/invoiceCheckRequest</t>
  </si>
  <si>
    <t>hitf_interface-19</t>
  </si>
  <si>
    <t>/invoiceCheckRespond</t>
  </si>
  <si>
    <t>hitf_interface-20</t>
  </si>
  <si>
    <t>HINVC</t>
  </si>
  <si>
    <t>发票统一查验</t>
  </si>
  <si>
    <t>/receipt/api/open/v1/verify</t>
  </si>
  <si>
    <t>hitf_interface-21</t>
  </si>
  <si>
    <t>HOCR</t>
  </si>
  <si>
    <t>发票图像识别</t>
  </si>
  <si>
    <t>/receipt/api/open/v1/ocr</t>
  </si>
  <si>
    <t>接口认证管理</t>
  </si>
  <si>
    <t>hitf_interface_auth</t>
  </si>
  <si>
    <t>*interface_auth_id</t>
  </si>
  <si>
    <t>#interface_id</t>
  </si>
  <si>
    <t>#auth_level</t>
  </si>
  <si>
    <t>#auth_level_value</t>
  </si>
  <si>
    <t>auth_type</t>
  </si>
  <si>
    <t>grant_type</t>
  </si>
  <si>
    <t>access_token_url</t>
  </si>
  <si>
    <t>password_encode_type</t>
  </si>
  <si>
    <t>hitf_interface_auth-8</t>
  </si>
  <si>
    <t>SERVER</t>
  </si>
  <si>
    <t>NONE</t>
  </si>
  <si>
    <t>hitf_interface_auth-9</t>
  </si>
  <si>
    <t>接口文档</t>
  </si>
  <si>
    <t>hitf_document</t>
  </si>
  <si>
    <t>*document_id</t>
  </si>
  <si>
    <t>document_name</t>
  </si>
  <si>
    <t>req_demo</t>
  </si>
  <si>
    <t>req_remark</t>
  </si>
  <si>
    <t>resp_success_status</t>
  </si>
  <si>
    <t>resp_success_mime_type</t>
  </si>
  <si>
    <t>resp_success_demo</t>
  </si>
  <si>
    <t>resp_failed_status</t>
  </si>
  <si>
    <t>resp_failed_mime_type</t>
  </si>
  <si>
    <t>resp_failed_demo</t>
  </si>
  <si>
    <t>resp_remark</t>
  </si>
  <si>
    <t>req_mime_type</t>
  </si>
  <si>
    <t>req_raw_flag</t>
  </si>
  <si>
    <t>req_root_type</t>
  </si>
  <si>
    <t>resp_mime_type</t>
  </si>
  <si>
    <t>resp_raw_flag</t>
  </si>
  <si>
    <t>resp_root_type</t>
  </si>
  <si>
    <t>hitf_document-8</t>
  </si>
  <si>
    <t>发票查验接口默认文档</t>
  </si>
  <si>
    <t>hitf_document-9</t>
  </si>
  <si>
    <t>发票主数据采集接口默认文档</t>
  </si>
  <si>
    <t>hitf_document-10</t>
  </si>
  <si>
    <t>发票勾选结果查询接口默认文档</t>
  </si>
  <si>
    <t>hitf_document-11</t>
  </si>
  <si>
    <t>hitf_document-12</t>
  </si>
  <si>
    <t>接口文档参数</t>
  </si>
  <si>
    <t>hitf_document_param</t>
  </si>
  <si>
    <t>*param_id</t>
  </si>
  <si>
    <t>#document_id</t>
  </si>
  <si>
    <t>interface_id</t>
  </si>
  <si>
    <t>#action_type</t>
  </si>
  <si>
    <t>mime_type</t>
  </si>
  <si>
    <t>param_type</t>
  </si>
  <si>
    <t>param_value_type</t>
  </si>
  <si>
    <t>#param_name</t>
  </si>
  <si>
    <t>default_value</t>
  </si>
  <si>
    <t>default_value_longtext</t>
  </si>
  <si>
    <t>required_flag</t>
  </si>
  <si>
    <t>format_regexp</t>
  </si>
  <si>
    <t>value_demo</t>
  </si>
  <si>
    <t>parent_id</t>
  </si>
  <si>
    <t>level_path</t>
  </si>
  <si>
    <t>order_seq</t>
  </si>
  <si>
    <t>接口文档参数备选值</t>
  </si>
  <si>
    <t>hitf_document_param_value</t>
  </si>
  <si>
    <t>*param_value_id</t>
  </si>
  <si>
    <t>#param_id</t>
  </si>
  <si>
    <t>document_id</t>
  </si>
  <si>
    <t>default_flag</t>
  </si>
  <si>
    <t>#param_value</t>
  </si>
  <si>
    <t>应用产品配置</t>
  </si>
  <si>
    <t>hitf_application</t>
  </si>
  <si>
    <t>*application_id</t>
  </si>
  <si>
    <t>#application_code</t>
  </si>
  <si>
    <t>application_name</t>
  </si>
  <si>
    <t>major_category</t>
  </si>
  <si>
    <t>minor_category</t>
  </si>
  <si>
    <t>compose_policy</t>
  </si>
  <si>
    <t>fast_fail_flag</t>
  </si>
  <si>
    <t>hitf_application-8</t>
  </si>
  <si>
    <t>HIVC.INVOICE_CHECK</t>
  </si>
  <si>
    <t>发票查验应用</t>
  </si>
  <si>
    <t>FINANCIAL</t>
  </si>
  <si>
    <t>INVOICE</t>
  </si>
  <si>
    <t>WEIGHT</t>
  </si>
  <si>
    <t>hitf_application-9</t>
  </si>
  <si>
    <t>HIVC.INVOICE_TICK</t>
  </si>
  <si>
    <t>发票勾选应用</t>
  </si>
  <si>
    <t>hitf_application-10</t>
  </si>
  <si>
    <t>HIVC.INVOICE_TICK_RESULT</t>
  </si>
  <si>
    <t>发票勾选结果查询应用</t>
  </si>
  <si>
    <t>hitf_application-11</t>
  </si>
  <si>
    <t>HIVC.INVOICE_AUTH</t>
  </si>
  <si>
    <t>发票认证应用</t>
  </si>
  <si>
    <t>ROUND_ROBIN</t>
  </si>
  <si>
    <t>hitf_application-12</t>
  </si>
  <si>
    <t>HIVC.INVOICE_AUTH_RESULT</t>
  </si>
  <si>
    <t>发票认证结果查询应用</t>
  </si>
  <si>
    <t>hitf_application-13</t>
  </si>
  <si>
    <t>HIVC.INVOICE_META_DATA</t>
  </si>
  <si>
    <t>发票主数据采集应用</t>
  </si>
  <si>
    <t>应用产品实例配置</t>
  </si>
  <si>
    <t>hitf_application_inst</t>
  </si>
  <si>
    <t>*application_inst_id</t>
  </si>
  <si>
    <t>#application_id</t>
  </si>
  <si>
    <t>#inst_interface_id</t>
  </si>
  <si>
    <t>weight</t>
  </si>
  <si>
    <t>hitf_application_inst-16</t>
  </si>
  <si>
    <t>10</t>
  </si>
  <si>
    <t>航信接口</t>
  </si>
  <si>
    <t xml:space="preserve">import org.hzero.boot.interfaces.sdk.dto.RequestPayloadDTO
import org.hzero.boot.interfaces.sdk.dto.ResponsePayloadDTO
import org.springframework.web.multipart.MultipartFile
import java.util.HashMap
import java.util.Map
import org.hzero.boot.interfaces.sdk.log.LoggerDelegate
import org.slf4j.Logger
import java.text.SimpleDateFormat
import com.fasterxml.jackson.annotation.JsonInclude
import com.fasterxml.jackson.core.type.TypeReference
import com.fasterxml.jackson.databind.ObjectMapper
import org.apache.commons.lang3.StringUtils
import org.hzero.core.base.BaseConstants
/**
 *
 * 参数映射类
 *
 */
class ParamReflect {
	static final Base64.Decoder DECODER = Base64.getDecoder()
    /**
     * 仅仅用于测试按钮，实际透传中此方法不会被调用，可不做任何实现。
     * @return 用于测试的请求对象
     */
    public RequestPayloadDTO mockRequestPayloadDTO(){
        /*
         * If you want to test the script for correctness, follow the example below to assign values
         *
         */
        RequestPayloadDTO requestPayloadDTO = new RequestPayloadDTO();
        // 请求头参数
        Map&lt;String, String&gt; headerMap = new HashMap&lt;&gt;(2);
        requestPayloadDTO.setHeaderParamMap(headerMap);
        // 路径参数
        Map&lt;String, String&gt; pathMap = new HashMap&lt;&gt;(2);
        requestPayloadDTO.setPathVariableMap(pathMap);
        // url参数
        Map&lt;String, String&gt; requestMap = new HashMap&lt;&gt;(2);
        requestPayloadDTO.setRequestParamMap(requestMap);
        // 文件参数
        Map&lt;String, MultipartFile&gt; file = new HashMap&lt;&gt;(2);
        requestPayloadDTO.setMultipartFileMap(file);
        // body媒体类型
        requestPayloadDTO.setMediaType("application/json");
        // json
        requestPayloadDTO.setPayload("{}");
        return requestPayloadDTO;
    }
    /**
     * 仅仅用于测试按钮、实际透传中不会做任何特殊处理、可不做任何实现
     * @return 用于测试的响应对象
     */
    public ResponsePayloadDTO mockResponsePayloadDTO(){
        /*
         * If you want to test the script for correctness, follow the example below to assign values
         *
         */
        ResponsePayloadDTO responsePayloadDTO = new ResponsePayloadDTO();
        // 响应状态
        responsePayloadDTO.setStatus("200");
        // 响应消息
        responsePayloadDTO.setMessage("正常");
        // 目标接口响应消息的媒体类型
        responsePayloadDTO.setMediaType("application/json");
        // 目标接口响应消息
        responsePayloadDTO.setPayload("{}");
        return responsePayloadDTO;
    }
    /**
     * 在接口透传的时候 ，此方法的返回值将作为接口透传的请求参数
     *
     * @param requestPayloadDTO 请求参数，此参数是被映射处理过后的参数
     * @return
     */
    RequestPayloadDTO requestDataConverter(RequestPayloadDTO requestPayloadDTO) {
        // 打印日志,测试按钮点击测试，日志信息将会展示到前端
        Logger logger = LoggerDelegate.getLogger();
        logger.debug("**************航信发票查验 入参 *************\n{}", requestPayloadDTO.toString())
        //测试appCode:Z8nrPaEiA6olEuRPQAAcTlJofl4YRywOvyN3C0oi71k=
        String appcode = "Z8nrPaEiA6olEuRPQAAcTlJofl4YRywOvyN3C0oi71k="
        ObjectMapper objectMapper = new ObjectMapper()
        Map&lt;String, Object&gt; requestPayload = objectMapper.readValue(requestPayloadDTO.getPayload(), new TypeReference&lt;Map&lt;String, Object&gt;&gt;() {
        })
        Map&lt;String, Object&gt; data = new HashMap&lt;&gt;(6)
        data.put("nsrsbh", requestPayload.remove("buyerNo"))
        data.put("fpdm", requestPayload.remove("invoiceCode"))
        data.put("fphm", requestPayload.remove("invoiceNo"))
        data.put("kprq", requestPayload.remove("invoiceDate"))
        data.put("je", requestPayload.remove("invoiceAmount"))
        data.put("jym", requestPayload.remove("checkCode"))
        requestPayload.put("data", objectMapper.writeValueAsString(data))
        requestPayload.put("appcode", appcode)
        logger.debug("**************航信发票查验 入参参映射结果 *************\n{}", requestPayloadDTO.toString())
        requestPayloadDTO.setPayload(objectMapper.writeValueAsString(requestPayload))
        return requestPayloadDTO
    }
    /**
     * 在接口透传结果处理的时候，此方法的返回结果将作为透传结果的返回值
     * @param responsePayloadDTO 响应参数
     * @return
     */
    ResponsePayloadDTO responseDataConverter(ResponsePayloadDTO responsePayloadDTO) {
        Logger logger = LoggerDelegate.getLogger();
        logger.debug("**************航信发票查验 *************\n{}", responsePayloadDTO.toString())
        Map&lt;String, String&gt; VAT_INVOICE_TRANS_MAP = new HashMap&lt;&gt;(2)
        VAT_INVOICE_TRANS_MAP.put("buyerTaxNo", "buyerNo")
        VAT_INVOICE_TRANS_MAP.put("salerTaxNo", "salerNo")
        Map&lt;String, String&gt; LINE_TRANS_MAP = new HashMap&lt;&gt;(2)
        LINE_TRANS_MAP.put("detailAmount", "amount")
        LINE_TRANS_MAP.put("num", "quantity")
        Map&lt;String, Object&gt; resultMap = new HashMap&lt;&gt;(4)
        ObjectMapper objectMapper = new ObjectMapper()
        Map&lt;String, Object&gt; responsePayload = objectMapper.readValue(responsePayloadDTO.getPayload(), new TypeReference&lt;Map&lt;String, Object&gt;&gt;() {
        })
        Map&lt;String, String&gt; codeMessage = (Map&lt;String, String&gt;) responsePayload.get("returnStateInfo")
        resultMap.put("code", codeMessage.get("returnCode"))
        resultMap.put("message", codeMessage.get("returnMessage"))
        if (codeMessage.get("returnCode").toString() != "0000") {
            responsePayloadDTO.setPayload(objectMapper.writeValueAsString(resultMap))
            return responsePayloadDTO
        }
        String json = new String(DECODER.decode((String) responsePayload.get("data")))
        Map&lt;String, Object&gt; result = objectMapper.readValue(json, new TypeReference&lt;Map&lt;String, Object&gt;&gt;() {})
        List&lt;Map&lt;String, Object&gt;&gt; invoices = (List&lt;Map&lt;String, Object&gt;&gt;) result.get("invoiceList")
        Map&lt;String, Object&gt; invoice = invoices.get(0)
        Map&lt;String, Object&gt; invoiceInfo = (Map&lt;String, Object&gt;) invoice.get("invoiceInfo")
        resultMap.put("code", invoiceInfo.get("resultCode"))
        resultMap.put("message", invoiceInfo.get("resultTip"))
        Map&lt;String, Object&gt; responseMap = new HashMap&lt;&gt;()
        for (Map.Entry&lt;String, Object&gt; entry : invoiceInfo.entrySet()) {
            if (VAT_INVOICE_TRANS_MAP.containsKey(entry.getKey())) {
                responseMap.put(VAT_INVOICE_TRANS_MAP.get(entry.getKey()), entry.getValue())
            } else {
                if (StringUtils.isNotEmpty((String) entry.getValue())) {
                    responseMap.put(entry.getKey(), entry.getValue())
                }
            }
        }
        SimpleDateFormat formatter = new SimpleDateFormat(BaseConstants.Pattern.NONE_DATE)
        Date newDate= formatter.parse((String) responseMap.get("invoiceDate"))
        formatter = new SimpleDateFormat(BaseConstants.Pattern.DATE)
        responseMap.put("invoiceDate", formatter.format(newDate))
        resultMap.put("data", responseMap)
        List&lt;Map&lt;String, Object&gt;&gt; items;
        if (invoiceInfo.get("resultCode").toString() == "0001") {
            items = (List&lt;Map&lt;String, Object&gt;&gt;) invoiceInfo.remove("detailList")
            for (Map&lt;String, Object&gt; item : items) {
                item.put("amount", item.remove("detailAmount"))
                item.put("quantity", item.remove("num"))
                if (item.containsKey("taxRate") &amp;&amp; !item.get("taxRate").toString().contains("%")) {
                    item.put("taxAmount",BigDecimal.ZERO)
                }
            }
            responseMap.put("lines", items)
        }
        objectMapper.setSerializationInclusion(JsonInclude.Include.NON_EMPTY)
        responsePayloadDTO.setPayload(objectMapper.writeValueAsString(resultMap))
        logger.debug("**************航信发票查验 响应参映射结果 *************\n{}", responsePayloadDTO.toString())
        return responsePayloadDTO
    }
}
</t>
  </si>
  <si>
    <t>hitf_application_inst-17</t>
  </si>
  <si>
    <t>hitf_application_inst-18</t>
  </si>
  <si>
    <t>hitf_application_inst-19</t>
  </si>
  <si>
    <t>hitf_application_inst-20</t>
  </si>
  <si>
    <t>hitf_application_inst-21</t>
  </si>
  <si>
    <t>应用产品实例参数映射</t>
  </si>
  <si>
    <t>hitf_application_inst_map</t>
  </si>
  <si>
    <t>*application_inst_map_id</t>
  </si>
  <si>
    <t>#application_inst_id</t>
  </si>
  <si>
    <t>application_id</t>
  </si>
  <si>
    <t>#source_param_id</t>
  </si>
  <si>
    <t>target_param_id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</si>
</sst>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S10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7">
        <v>53</v>
      </c>
      <c r="E7" t="s" s="68">
        <v>54</v>
      </c>
      <c r="F7" t="s" s="69">
        <v>55</v>
      </c>
      <c r="G7" t="s" s="70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</row>
    <row r="8">
      <c r="E8" t="s">
        <v>69</v>
      </c>
      <c r="F8" t="s">
        <v>70</v>
      </c>
      <c r="G8" t="s">
        <v>71</v>
      </c>
      <c r="H8" t="s">
        <v>72</v>
      </c>
      <c r="I8" t="s">
        <v>73</v>
      </c>
      <c r="M8" t="s">
        <v>74</v>
      </c>
      <c r="N8" t="s">
        <v>75</v>
      </c>
      <c r="O8" t="s">
        <v>76</v>
      </c>
      <c r="P8" t="s">
        <v>70</v>
      </c>
      <c r="S8" t="s">
        <v>70</v>
      </c>
    </row>
    <row r="9">
      <c r="E9" t="s">
        <v>77</v>
      </c>
      <c r="F9" t="s">
        <v>70</v>
      </c>
      <c r="G9" t="s">
        <v>78</v>
      </c>
      <c r="H9" t="s">
        <v>79</v>
      </c>
      <c r="I9" t="s">
        <v>73</v>
      </c>
      <c r="J9" t="s">
        <v>80</v>
      </c>
      <c r="M9" t="s">
        <v>74</v>
      </c>
      <c r="N9" t="s">
        <v>81</v>
      </c>
      <c r="O9" t="s">
        <v>76</v>
      </c>
      <c r="P9" t="s">
        <v>70</v>
      </c>
      <c r="S9" t="s">
        <v>70</v>
      </c>
    </row>
    <row r="10">
      <c r="E10" t="s">
        <v>82</v>
      </c>
      <c r="F10" t="s">
        <v>70</v>
      </c>
      <c r="G10" t="s">
        <v>83</v>
      </c>
      <c r="H10" t="s">
        <v>84</v>
      </c>
      <c r="I10" t="s">
        <v>73</v>
      </c>
      <c r="J10" t="s">
        <v>85</v>
      </c>
      <c r="M10" t="s">
        <v>74</v>
      </c>
      <c r="N10" t="s">
        <v>81</v>
      </c>
      <c r="O10" t="s">
        <v>76</v>
      </c>
      <c r="P10" t="s">
        <v>70</v>
      </c>
      <c r="S10" t="s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21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86</v>
      </c>
      <c r="D7" t="s" s="71">
        <v>87</v>
      </c>
      <c r="E7" t="s" s="72">
        <v>88</v>
      </c>
      <c r="F7" t="s">
        <v>89</v>
      </c>
      <c r="G7" t="s" s="73">
        <v>90</v>
      </c>
      <c r="H7" t="s" s="74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62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</row>
    <row r="8">
      <c r="E8" t="s">
        <v>102</v>
      </c>
      <c r="F8" t="s">
        <v>70</v>
      </c>
      <c r="G8">
        <f>服务注册!$E$8</f>
      </c>
      <c r="H8" t="s">
        <v>103</v>
      </c>
      <c r="I8" t="s">
        <v>104</v>
      </c>
      <c r="K8" t="s">
        <v>73</v>
      </c>
      <c r="L8" t="s">
        <v>105</v>
      </c>
      <c r="M8" t="s">
        <v>106</v>
      </c>
      <c r="N8" t="s">
        <v>74</v>
      </c>
      <c r="Q8" t="s">
        <v>107</v>
      </c>
    </row>
    <row r="9">
      <c r="E9" t="s">
        <v>108</v>
      </c>
      <c r="F9" t="s">
        <v>70</v>
      </c>
      <c r="G9">
        <f>服务注册!$E$8</f>
      </c>
      <c r="H9" t="s">
        <v>109</v>
      </c>
      <c r="I9" t="s">
        <v>110</v>
      </c>
      <c r="K9" t="s">
        <v>73</v>
      </c>
      <c r="L9" t="s">
        <v>105</v>
      </c>
      <c r="M9" t="s">
        <v>106</v>
      </c>
      <c r="N9" t="s">
        <v>74</v>
      </c>
      <c r="Q9" t="s">
        <v>107</v>
      </c>
    </row>
    <row r="10">
      <c r="E10" t="s">
        <v>111</v>
      </c>
      <c r="F10" t="s">
        <v>70</v>
      </c>
      <c r="G10">
        <f>服务注册!$E$8</f>
      </c>
      <c r="H10" t="s">
        <v>112</v>
      </c>
      <c r="I10" t="s">
        <v>113</v>
      </c>
      <c r="K10" t="s">
        <v>73</v>
      </c>
      <c r="L10" t="s">
        <v>105</v>
      </c>
      <c r="M10" t="s">
        <v>106</v>
      </c>
      <c r="N10" t="s">
        <v>74</v>
      </c>
      <c r="Q10" t="s">
        <v>107</v>
      </c>
    </row>
    <row r="11">
      <c r="E11" t="s">
        <v>114</v>
      </c>
      <c r="F11" t="s">
        <v>70</v>
      </c>
      <c r="G11">
        <f>服务注册!$E$8</f>
      </c>
      <c r="H11" t="s">
        <v>115</v>
      </c>
      <c r="I11" t="s">
        <v>116</v>
      </c>
      <c r="K11" t="s">
        <v>73</v>
      </c>
      <c r="L11" t="s">
        <v>105</v>
      </c>
      <c r="M11" t="s">
        <v>106</v>
      </c>
      <c r="N11" t="s">
        <v>74</v>
      </c>
      <c r="Q11" t="s">
        <v>107</v>
      </c>
    </row>
    <row r="12">
      <c r="E12" t="s">
        <v>117</v>
      </c>
      <c r="F12" t="s">
        <v>70</v>
      </c>
      <c r="G12">
        <f>服务注册!$E$8</f>
      </c>
      <c r="H12" t="s">
        <v>118</v>
      </c>
      <c r="I12" t="s">
        <v>119</v>
      </c>
      <c r="K12" t="s">
        <v>73</v>
      </c>
      <c r="L12" t="s">
        <v>105</v>
      </c>
      <c r="M12" t="s">
        <v>106</v>
      </c>
      <c r="N12" t="s">
        <v>74</v>
      </c>
      <c r="Q12" t="s">
        <v>107</v>
      </c>
    </row>
    <row r="13">
      <c r="E13" t="s">
        <v>120</v>
      </c>
      <c r="F13" t="s">
        <v>70</v>
      </c>
      <c r="G13">
        <f>服务注册!$E$8</f>
      </c>
      <c r="H13" t="s">
        <v>121</v>
      </c>
      <c r="I13" t="s">
        <v>122</v>
      </c>
      <c r="K13" t="s">
        <v>73</v>
      </c>
      <c r="L13" t="s">
        <v>105</v>
      </c>
      <c r="M13" t="s">
        <v>106</v>
      </c>
      <c r="N13" t="s">
        <v>74</v>
      </c>
      <c r="Q13" t="s">
        <v>107</v>
      </c>
    </row>
    <row r="14">
      <c r="E14" t="s">
        <v>123</v>
      </c>
      <c r="F14" t="s">
        <v>70</v>
      </c>
      <c r="G14">
        <f>服务注册!$E$9</f>
      </c>
      <c r="H14" t="s">
        <v>103</v>
      </c>
      <c r="I14" t="s">
        <v>104</v>
      </c>
      <c r="J14" t="s">
        <v>124</v>
      </c>
      <c r="K14" t="s">
        <v>73</v>
      </c>
      <c r="L14" t="s">
        <v>105</v>
      </c>
      <c r="M14" t="s">
        <v>106</v>
      </c>
      <c r="N14" t="s">
        <v>74</v>
      </c>
      <c r="Q14" t="s">
        <v>125</v>
      </c>
    </row>
    <row r="15">
      <c r="E15" t="s">
        <v>126</v>
      </c>
      <c r="F15" t="s">
        <v>70</v>
      </c>
      <c r="G15">
        <f>服务注册!$E$9</f>
      </c>
      <c r="H15" t="s">
        <v>109</v>
      </c>
      <c r="I15" t="s">
        <v>110</v>
      </c>
      <c r="J15" t="s">
        <v>127</v>
      </c>
      <c r="K15" t="s">
        <v>73</v>
      </c>
      <c r="L15" t="s">
        <v>105</v>
      </c>
      <c r="M15" t="s">
        <v>106</v>
      </c>
      <c r="N15" t="s">
        <v>74</v>
      </c>
      <c r="Q15" t="s">
        <v>125</v>
      </c>
    </row>
    <row r="16">
      <c r="E16" t="s">
        <v>128</v>
      </c>
      <c r="F16" t="s">
        <v>70</v>
      </c>
      <c r="G16">
        <f>服务注册!$E$9</f>
      </c>
      <c r="H16" t="s">
        <v>112</v>
      </c>
      <c r="I16" t="s">
        <v>113</v>
      </c>
      <c r="J16" t="s">
        <v>129</v>
      </c>
      <c r="K16" t="s">
        <v>73</v>
      </c>
      <c r="L16" t="s">
        <v>105</v>
      </c>
      <c r="M16" t="s">
        <v>106</v>
      </c>
      <c r="N16" t="s">
        <v>74</v>
      </c>
      <c r="Q16" t="s">
        <v>125</v>
      </c>
    </row>
    <row r="17">
      <c r="E17" t="s">
        <v>130</v>
      </c>
      <c r="F17" t="s">
        <v>70</v>
      </c>
      <c r="G17">
        <f>服务注册!$E$9</f>
      </c>
      <c r="H17" t="s">
        <v>115</v>
      </c>
      <c r="I17" t="s">
        <v>131</v>
      </c>
      <c r="J17" t="s">
        <v>132</v>
      </c>
      <c r="K17" t="s">
        <v>73</v>
      </c>
      <c r="L17" t="s">
        <v>105</v>
      </c>
      <c r="M17" t="s">
        <v>106</v>
      </c>
      <c r="N17" t="s">
        <v>74</v>
      </c>
      <c r="Q17" t="s">
        <v>125</v>
      </c>
    </row>
    <row r="18">
      <c r="E18" t="s">
        <v>133</v>
      </c>
      <c r="F18" t="s">
        <v>70</v>
      </c>
      <c r="G18">
        <f>服务注册!$E$9</f>
      </c>
      <c r="H18" t="s">
        <v>118</v>
      </c>
      <c r="I18" t="s">
        <v>119</v>
      </c>
      <c r="J18" t="s">
        <v>134</v>
      </c>
      <c r="K18" t="s">
        <v>73</v>
      </c>
      <c r="L18" t="s">
        <v>105</v>
      </c>
      <c r="M18" t="s">
        <v>106</v>
      </c>
      <c r="N18" t="s">
        <v>74</v>
      </c>
      <c r="Q18" t="s">
        <v>125</v>
      </c>
    </row>
    <row r="19">
      <c r="E19" t="s">
        <v>135</v>
      </c>
      <c r="F19" t="s">
        <v>70</v>
      </c>
      <c r="G19">
        <f>服务注册!$E$9</f>
      </c>
      <c r="H19" t="s">
        <v>121</v>
      </c>
      <c r="I19" t="s">
        <v>122</v>
      </c>
      <c r="J19" t="s">
        <v>136</v>
      </c>
      <c r="K19" t="s">
        <v>73</v>
      </c>
      <c r="L19" t="s">
        <v>105</v>
      </c>
      <c r="M19" t="s">
        <v>106</v>
      </c>
      <c r="N19" t="s">
        <v>74</v>
      </c>
      <c r="Q19" t="s">
        <v>125</v>
      </c>
    </row>
    <row r="20">
      <c r="E20" t="s">
        <v>137</v>
      </c>
      <c r="F20" t="s">
        <v>70</v>
      </c>
      <c r="G20">
        <f>服务注册!$E$10</f>
      </c>
      <c r="H20" t="s">
        <v>138</v>
      </c>
      <c r="I20" t="s">
        <v>139</v>
      </c>
      <c r="J20" t="s">
        <v>140</v>
      </c>
      <c r="K20" t="s">
        <v>73</v>
      </c>
      <c r="L20" t="s">
        <v>105</v>
      </c>
      <c r="M20" t="s">
        <v>106</v>
      </c>
      <c r="N20" t="s">
        <v>74</v>
      </c>
      <c r="Q20" t="s">
        <v>125</v>
      </c>
    </row>
    <row r="21">
      <c r="E21" t="s">
        <v>141</v>
      </c>
      <c r="F21" t="s">
        <v>70</v>
      </c>
      <c r="G21">
        <f>服务注册!$E$10</f>
      </c>
      <c r="H21" t="s">
        <v>142</v>
      </c>
      <c r="I21" t="s">
        <v>143</v>
      </c>
      <c r="J21" t="s">
        <v>144</v>
      </c>
      <c r="K21" t="s">
        <v>73</v>
      </c>
      <c r="L21" t="s">
        <v>105</v>
      </c>
      <c r="M21" t="s">
        <v>106</v>
      </c>
      <c r="N21" t="s">
        <v>74</v>
      </c>
      <c r="Q21" t="s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9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145</v>
      </c>
      <c r="D7" t="s" s="75">
        <v>146</v>
      </c>
      <c r="E7" t="s" s="76">
        <v>147</v>
      </c>
      <c r="F7" t="s" s="77">
        <v>148</v>
      </c>
      <c r="G7" t="s">
        <v>89</v>
      </c>
      <c r="H7" t="s" s="78">
        <v>149</v>
      </c>
      <c r="I7" t="s" s="79">
        <v>150</v>
      </c>
      <c r="J7" t="s">
        <v>151</v>
      </c>
      <c r="K7" t="s">
        <v>152</v>
      </c>
      <c r="L7" t="s">
        <v>153</v>
      </c>
      <c r="M7" t="s">
        <v>100</v>
      </c>
      <c r="N7" t="s">
        <v>154</v>
      </c>
    </row>
    <row r="8">
      <c r="E8" t="s">
        <v>155</v>
      </c>
      <c r="G8" t="s">
        <v>70</v>
      </c>
      <c r="H8" t="s">
        <v>156</v>
      </c>
      <c r="I8">
        <f>服务注册!$E$9</f>
      </c>
      <c r="J8" t="s">
        <v>157</v>
      </c>
    </row>
    <row r="9">
      <c r="E9" t="s">
        <v>158</v>
      </c>
      <c r="G9" t="s">
        <v>70</v>
      </c>
      <c r="H9" t="s">
        <v>156</v>
      </c>
      <c r="I9">
        <f>服务注册!$E$10</f>
      </c>
      <c r="J9" t="s">
        <v>157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16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159</v>
      </c>
      <c r="D7" t="s" s="80">
        <v>160</v>
      </c>
      <c r="E7" t="s" s="81">
        <v>161</v>
      </c>
      <c r="F7" t="s" s="82">
        <v>148</v>
      </c>
      <c r="G7" t="s" s="83">
        <v>55</v>
      </c>
      <c r="H7" t="s">
        <v>162</v>
      </c>
      <c r="I7" t="s">
        <v>163</v>
      </c>
      <c r="J7" t="s">
        <v>164</v>
      </c>
      <c r="K7" t="s">
        <v>165</v>
      </c>
      <c r="L7" t="s">
        <v>166</v>
      </c>
      <c r="M7" t="s">
        <v>167</v>
      </c>
      <c r="N7" t="s">
        <v>168</v>
      </c>
      <c r="O7" t="s">
        <v>169</v>
      </c>
      <c r="P7" t="s">
        <v>170</v>
      </c>
      <c r="Q7" t="s">
        <v>171</v>
      </c>
      <c r="R7" t="s">
        <v>100</v>
      </c>
      <c r="S7" t="s">
        <v>172</v>
      </c>
      <c r="T7" t="s">
        <v>173</v>
      </c>
      <c r="U7" t="s">
        <v>174</v>
      </c>
      <c r="V7" t="s">
        <v>175</v>
      </c>
      <c r="W7" t="s">
        <v>176</v>
      </c>
      <c r="X7" t="s">
        <v>177</v>
      </c>
    </row>
    <row r="8">
      <c r="E8" t="s">
        <v>178</v>
      </c>
      <c r="F8">
        <f>接口配置!$E$10</f>
      </c>
      <c r="G8" t="s">
        <v>70</v>
      </c>
      <c r="H8" t="s">
        <v>179</v>
      </c>
    </row>
    <row r="9">
      <c r="E9" t="s">
        <v>180</v>
      </c>
      <c r="F9">
        <f>接口配置!$E$11</f>
      </c>
      <c r="G9" t="s">
        <v>70</v>
      </c>
      <c r="H9" t="s">
        <v>181</v>
      </c>
    </row>
    <row r="10">
      <c r="E10" t="s">
        <v>182</v>
      </c>
      <c r="F10">
        <f>接口配置!$E$13</f>
      </c>
      <c r="G10" t="s">
        <v>70</v>
      </c>
      <c r="H10" t="s">
        <v>183</v>
      </c>
    </row>
    <row r="11">
      <c r="E11" t="s">
        <v>184</v>
      </c>
      <c r="F11">
        <f>接口配置!$E$16</f>
      </c>
      <c r="G11" t="s">
        <v>70</v>
      </c>
      <c r="H11" t="s">
        <v>179</v>
      </c>
    </row>
    <row r="12">
      <c r="E12" t="s">
        <v>185</v>
      </c>
      <c r="F12">
        <f>接口配置!$E$19</f>
      </c>
      <c r="G12" t="s">
        <v>70</v>
      </c>
      <c r="H12" t="s">
        <v>183</v>
      </c>
    </row>
    <row r="14">
      <c r="A14" t="s">
        <v>50</v>
      </c>
      <c r="B14" t="s">
        <v>51</v>
      </c>
      <c r="C14" t="s">
        <v>186</v>
      </c>
      <c r="D14" t="s" s="84">
        <v>187</v>
      </c>
      <c r="E14" t="s" s="85">
        <v>188</v>
      </c>
      <c r="F14" t="s" s="86">
        <v>189</v>
      </c>
      <c r="G14" t="s" s="87">
        <v>190</v>
      </c>
      <c r="H14" t="s">
        <v>89</v>
      </c>
      <c r="I14" t="s" s="88">
        <v>191</v>
      </c>
      <c r="J14" t="s">
        <v>192</v>
      </c>
      <c r="K14" t="s">
        <v>193</v>
      </c>
      <c r="L14" t="s">
        <v>194</v>
      </c>
      <c r="M14" t="s" s="89">
        <v>195</v>
      </c>
      <c r="N14" t="s">
        <v>196</v>
      </c>
      <c r="O14" t="s">
        <v>197</v>
      </c>
      <c r="P14" t="s">
        <v>198</v>
      </c>
      <c r="Q14" t="s">
        <v>199</v>
      </c>
      <c r="R14" t="s">
        <v>200</v>
      </c>
      <c r="S14" t="s">
        <v>201</v>
      </c>
      <c r="T14" t="s">
        <v>202</v>
      </c>
      <c r="U14" t="s">
        <v>203</v>
      </c>
      <c r="V14" t="s">
        <v>100</v>
      </c>
    </row>
    <row r="16">
      <c r="A16" t="s">
        <v>50</v>
      </c>
      <c r="B16" t="s">
        <v>51</v>
      </c>
      <c r="C16" t="s">
        <v>204</v>
      </c>
      <c r="D16" t="s" s="90">
        <v>205</v>
      </c>
      <c r="E16" t="s" s="91">
        <v>206</v>
      </c>
      <c r="F16" t="s" s="92">
        <v>207</v>
      </c>
      <c r="G16" t="s" s="93">
        <v>208</v>
      </c>
      <c r="H16" t="s" s="94">
        <v>190</v>
      </c>
      <c r="I16" t="s">
        <v>89</v>
      </c>
      <c r="J16" t="s">
        <v>209</v>
      </c>
      <c r="K16" t="s" s="95">
        <v>210</v>
      </c>
      <c r="L16" t="s">
        <v>100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23"/>
  <sheetViews>
    <sheetView workbookViewId="0"/>
  </sheetViews>
  <sheetFormatPr defaultRowHeight="15.0"/>
  <sheetData>
    <row r="1">
      <c r="A1" t="s" s="60">
        <v>44</v>
      </c>
      <c r="B1" t="s" s="61">
        <v>45</v>
      </c>
      <c r="C1" t="s" s="62">
        <v>9</v>
      </c>
      <c r="D1" t="s" s="63">
        <v>46</v>
      </c>
    </row>
    <row r="4">
      <c r="E4" t="s" s="64">
        <v>47</v>
      </c>
      <c r="F4" t="s" s="65">
        <v>48</v>
      </c>
      <c r="G4" t="s" s="66">
        <v>49</v>
      </c>
    </row>
    <row r="7">
      <c r="A7" t="s">
        <v>50</v>
      </c>
      <c r="B7" t="s">
        <v>51</v>
      </c>
      <c r="C7" t="s">
        <v>211</v>
      </c>
      <c r="D7" t="s" s="96">
        <v>212</v>
      </c>
      <c r="E7" t="s" s="97">
        <v>213</v>
      </c>
      <c r="F7" t="s" s="98">
        <v>214</v>
      </c>
      <c r="G7" t="s">
        <v>215</v>
      </c>
      <c r="H7" t="s" s="99">
        <v>55</v>
      </c>
      <c r="I7" t="s">
        <v>216</v>
      </c>
      <c r="J7" t="s">
        <v>217</v>
      </c>
      <c r="K7" t="s">
        <v>218</v>
      </c>
      <c r="L7" t="s" s="100">
        <v>190</v>
      </c>
      <c r="M7" t="s">
        <v>62</v>
      </c>
      <c r="N7" t="s">
        <v>100</v>
      </c>
      <c r="O7" t="s">
        <v>219</v>
      </c>
    </row>
    <row r="8">
      <c r="E8" t="s">
        <v>220</v>
      </c>
      <c r="F8" t="s">
        <v>221</v>
      </c>
      <c r="G8" t="s">
        <v>222</v>
      </c>
      <c r="H8" t="s">
        <v>70</v>
      </c>
      <c r="I8" t="s">
        <v>223</v>
      </c>
      <c r="J8" t="s">
        <v>224</v>
      </c>
      <c r="K8" t="s">
        <v>225</v>
      </c>
      <c r="L8">
        <f>接口配置!$E$10</f>
      </c>
      <c r="M8" t="s">
        <v>74</v>
      </c>
      <c r="O8" t="s">
        <v>74</v>
      </c>
    </row>
    <row r="9">
      <c r="E9" t="s">
        <v>226</v>
      </c>
      <c r="F9" t="s">
        <v>227</v>
      </c>
      <c r="G9" t="s">
        <v>228</v>
      </c>
      <c r="H9" t="s">
        <v>70</v>
      </c>
      <c r="I9" t="s">
        <v>223</v>
      </c>
      <c r="J9" t="s">
        <v>224</v>
      </c>
      <c r="K9" t="s">
        <v>225</v>
      </c>
      <c r="L9">
        <f>接口配置!$E$12</f>
      </c>
      <c r="M9" t="s">
        <v>74</v>
      </c>
      <c r="O9" t="s">
        <v>74</v>
      </c>
    </row>
    <row r="10">
      <c r="E10" t="s">
        <v>229</v>
      </c>
      <c r="F10" t="s">
        <v>230</v>
      </c>
      <c r="G10" t="s">
        <v>231</v>
      </c>
      <c r="H10" t="s">
        <v>70</v>
      </c>
      <c r="I10" t="s">
        <v>223</v>
      </c>
      <c r="J10" t="s">
        <v>224</v>
      </c>
      <c r="K10" t="s">
        <v>225</v>
      </c>
      <c r="L10">
        <f>接口配置!$E$13</f>
      </c>
      <c r="M10" t="s">
        <v>74</v>
      </c>
      <c r="O10" t="s">
        <v>74</v>
      </c>
    </row>
    <row r="11">
      <c r="E11" t="s">
        <v>232</v>
      </c>
      <c r="F11" t="s">
        <v>233</v>
      </c>
      <c r="G11" t="s">
        <v>234</v>
      </c>
      <c r="H11" t="s">
        <v>70</v>
      </c>
      <c r="I11" t="s">
        <v>223</v>
      </c>
      <c r="J11" t="s">
        <v>224</v>
      </c>
      <c r="K11" t="s">
        <v>235</v>
      </c>
      <c r="L11">
        <f>接口配置!$E$8</f>
      </c>
      <c r="M11" t="s">
        <v>74</v>
      </c>
      <c r="O11" t="s">
        <v>74</v>
      </c>
    </row>
    <row r="12">
      <c r="E12" t="s">
        <v>236</v>
      </c>
      <c r="F12" t="s">
        <v>237</v>
      </c>
      <c r="G12" t="s">
        <v>238</v>
      </c>
      <c r="H12" t="s">
        <v>70</v>
      </c>
      <c r="I12" t="s">
        <v>223</v>
      </c>
      <c r="J12" t="s">
        <v>224</v>
      </c>
      <c r="K12" t="s">
        <v>225</v>
      </c>
      <c r="L12">
        <f>接口配置!$E$9</f>
      </c>
      <c r="M12" t="s">
        <v>74</v>
      </c>
      <c r="O12" t="s">
        <v>74</v>
      </c>
    </row>
    <row r="13">
      <c r="E13" t="s">
        <v>239</v>
      </c>
      <c r="F13" t="s">
        <v>240</v>
      </c>
      <c r="G13" t="s">
        <v>241</v>
      </c>
      <c r="H13" t="s">
        <v>70</v>
      </c>
      <c r="I13" t="s">
        <v>223</v>
      </c>
      <c r="J13" t="s">
        <v>224</v>
      </c>
      <c r="K13" t="s">
        <v>225</v>
      </c>
      <c r="L13">
        <f>接口配置!$E$11</f>
      </c>
      <c r="M13" t="s">
        <v>74</v>
      </c>
      <c r="O13" t="s">
        <v>74</v>
      </c>
    </row>
    <row r="15">
      <c r="A15" t="s">
        <v>50</v>
      </c>
      <c r="B15" t="s">
        <v>51</v>
      </c>
      <c r="C15" t="s">
        <v>242</v>
      </c>
      <c r="D15" t="s" s="101">
        <v>243</v>
      </c>
      <c r="E15" t="s" s="102">
        <v>244</v>
      </c>
      <c r="F15" t="s" s="103">
        <v>245</v>
      </c>
      <c r="G15" t="s" s="104">
        <v>55</v>
      </c>
      <c r="H15" t="s" s="105">
        <v>246</v>
      </c>
      <c r="I15" t="s">
        <v>247</v>
      </c>
      <c r="J15" t="s">
        <v>203</v>
      </c>
      <c r="K15" t="s">
        <v>62</v>
      </c>
      <c r="L15" t="s">
        <v>100</v>
      </c>
      <c r="M15" t="s">
        <v>101</v>
      </c>
    </row>
    <row r="16">
      <c r="E16" t="s">
        <v>248</v>
      </c>
      <c r="F16">
        <f>应用类型定义!$E$8</f>
      </c>
      <c r="G16" t="s">
        <v>70</v>
      </c>
      <c r="H16">
        <f>接口配置!$E$16</f>
      </c>
      <c r="I16" t="s">
        <v>249</v>
      </c>
      <c r="J16" t="s">
        <v>74</v>
      </c>
      <c r="K16" t="s">
        <v>74</v>
      </c>
      <c r="L16" t="s">
        <v>250</v>
      </c>
      <c r="M16" t="s">
        <v>251</v>
      </c>
    </row>
    <row r="17">
      <c r="E17" t="s">
        <v>252</v>
      </c>
      <c r="F17">
        <f>应用类型定义!$E$9</f>
      </c>
      <c r="G17" t="s">
        <v>70</v>
      </c>
      <c r="H17">
        <f>接口配置!$E$18</f>
      </c>
      <c r="I17" t="s">
        <v>249</v>
      </c>
      <c r="J17" t="s">
        <v>74</v>
      </c>
      <c r="K17" t="s">
        <v>74</v>
      </c>
      <c r="L17" t="s">
        <v>250</v>
      </c>
    </row>
    <row r="18">
      <c r="E18" t="s">
        <v>253</v>
      </c>
      <c r="F18">
        <f>应用类型定义!$E$10</f>
      </c>
      <c r="G18" t="s">
        <v>70</v>
      </c>
      <c r="H18">
        <f>接口配置!$E$19</f>
      </c>
      <c r="I18" t="s">
        <v>249</v>
      </c>
      <c r="J18" t="s">
        <v>74</v>
      </c>
      <c r="K18" t="s">
        <v>74</v>
      </c>
      <c r="L18" t="s">
        <v>250</v>
      </c>
    </row>
    <row r="19">
      <c r="E19" t="s">
        <v>254</v>
      </c>
      <c r="F19">
        <f>应用类型定义!$E$11</f>
      </c>
      <c r="G19" t="s">
        <v>70</v>
      </c>
      <c r="H19">
        <f>接口配置!$E$14</f>
      </c>
      <c r="I19" t="s">
        <v>74</v>
      </c>
      <c r="J19" t="s">
        <v>249</v>
      </c>
      <c r="K19" t="s">
        <v>74</v>
      </c>
      <c r="L19" t="s">
        <v>250</v>
      </c>
    </row>
    <row r="20">
      <c r="E20" t="s">
        <v>255</v>
      </c>
      <c r="F20">
        <f>应用类型定义!$E$12</f>
      </c>
      <c r="G20" t="s">
        <v>70</v>
      </c>
      <c r="H20">
        <f>接口配置!$E$15</f>
      </c>
      <c r="I20" t="s">
        <v>249</v>
      </c>
      <c r="J20" t="s">
        <v>74</v>
      </c>
      <c r="K20" t="s">
        <v>74</v>
      </c>
      <c r="L20" t="s">
        <v>250</v>
      </c>
    </row>
    <row r="21">
      <c r="E21" t="s">
        <v>256</v>
      </c>
      <c r="F21">
        <f>应用类型定义!$E$13</f>
      </c>
      <c r="G21" t="s">
        <v>70</v>
      </c>
      <c r="H21">
        <f>接口配置!$E$17</f>
      </c>
      <c r="I21" t="s">
        <v>249</v>
      </c>
      <c r="J21" t="s">
        <v>74</v>
      </c>
      <c r="K21" t="s">
        <v>74</v>
      </c>
      <c r="L21" t="s">
        <v>250</v>
      </c>
    </row>
    <row r="23">
      <c r="A23" t="s">
        <v>50</v>
      </c>
      <c r="B23" t="s">
        <v>51</v>
      </c>
      <c r="C23" t="s">
        <v>257</v>
      </c>
      <c r="D23" t="s" s="106">
        <v>258</v>
      </c>
      <c r="E23" t="s" s="107">
        <v>259</v>
      </c>
      <c r="F23" t="s" s="108">
        <v>260</v>
      </c>
      <c r="G23" t="s" s="109">
        <v>261</v>
      </c>
      <c r="H23" t="s">
        <v>89</v>
      </c>
      <c r="I23" t="s" s="110">
        <v>191</v>
      </c>
      <c r="J23" t="s" s="111">
        <v>262</v>
      </c>
      <c r="K23" t="s" s="112">
        <v>263</v>
      </c>
      <c r="L23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